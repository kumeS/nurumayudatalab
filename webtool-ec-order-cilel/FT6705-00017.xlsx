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オーダー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<sst xmlns="http://schemas.openxmlformats.org/spreadsheetml/2006/main" uniqueCount="102">
  <si>
    <t>注文日</t>
  </si>
  <si>
    <t>2026/01/25</t>
  </si>
  <si>
    <t>注文NO</t>
  </si>
  <si>
    <t>FT6705-00017</t>
  </si>
  <si>
    <t>会員メモ</t>
  </si>
  <si>
    <t>会員→FT</t>
  </si>
  <si>
    <t>CiLEL 注文シート</t>
  </si>
  <si>
    <t>アパレル商品</t>
  </si>
  <si>
    <t>（控え）</t>
  </si>
  <si>
    <t>出力日時</t>
  </si>
  <si>
    <t>2026/02/07 20:43:24</t>
  </si>
  <si>
    <t xml:space="preserve">航空便でお見積もりを作成してください。
サイト1で在庫がない場合は、一度、ご連絡ください。
商品に「MADE IN CHINA」とプリントされたシールを貼り付け作業をお願いします。
</t>
  </si>
  <si>
    <t>発送先情報</t>
  </si>
  <si>
    <t>お名前</t>
  </si>
  <si>
    <t>郵便番号</t>
  </si>
  <si>
    <t>住所</t>
  </si>
  <si>
    <t>商品代合計（A）</t>
  </si>
  <si>
    <t>代行手数料（B）</t>
  </si>
  <si>
    <t>中国内送料（C）</t>
  </si>
  <si>
    <t>国際送料（D）</t>
  </si>
  <si>
    <t>発送1</t>
  </si>
  <si>
    <t>OCS 26023813900</t>
  </si>
  <si>
    <t>kg</t>
  </si>
  <si>
    <t>元</t>
  </si>
  <si>
    <t>発送7</t>
  </si>
  <si>
    <t>久米 由貴</t>
  </si>
  <si>
    <t>大阪府大阪市都島区東野田町1丁目10-3 ル・アーブル東野田301号室</t>
  </si>
  <si>
    <t>発送2</t>
  </si>
  <si>
    <t>発送8</t>
  </si>
  <si>
    <t>Eメールアドレス</t>
  </si>
  <si>
    <t>スカイプID</t>
  </si>
  <si>
    <t>電話番号</t>
  </si>
  <si>
    <t>検品作業費</t>
  </si>
  <si>
    <t>物流加工費</t>
  </si>
  <si>
    <t>発送3</t>
  </si>
  <si>
    <t>発送9</t>
  </si>
  <si>
    <t>calm.store.order@gmail.com</t>
  </si>
  <si>
    <t>070-8481-8260</t>
  </si>
  <si>
    <t>発送4</t>
  </si>
  <si>
    <t>発送10</t>
  </si>
  <si>
    <t>前金</t>
  </si>
  <si>
    <t>発送精算済</t>
  </si>
  <si>
    <t>重さ</t>
  </si>
  <si>
    <t>発送5</t>
  </si>
  <si>
    <t>発送11</t>
  </si>
  <si>
    <t>(E) + (F) + 調整分 + 関税立替　＝　FBA合計</t>
  </si>
  <si>
    <t>（A）+（B）+（C）+（D）+(E)+(F)　＝</t>
  </si>
  <si>
    <t>支払合計</t>
  </si>
  <si>
    <t>発送6</t>
  </si>
  <si>
    <t>発送12</t>
  </si>
  <si>
    <t>１元 =</t>
  </si>
  <si>
    <t>手数料 =</t>
  </si>
  <si>
    <t>支払い方法</t>
  </si>
  <si>
    <t>PayPal</t>
  </si>
  <si>
    <t>出荷予定日</t>
  </si>
  <si>
    <t>2026/02/03</t>
  </si>
  <si>
    <t>予定</t>
  </si>
  <si>
    <t>番号</t>
  </si>
  <si>
    <t>サイトURL</t>
  </si>
  <si>
    <t>写真</t>
  </si>
  <si>
    <t>サイズ・カラー・各個数など</t>
  </si>
  <si>
    <t>発注
数量</t>
  </si>
  <si>
    <t>入荷
数量</t>
  </si>
  <si>
    <t>出荷
数量</t>
  </si>
  <si>
    <t>単価(元)</t>
  </si>
  <si>
    <t>日本円</t>
  </si>
  <si>
    <t>小計（円）</t>
  </si>
  <si>
    <t>中国内送料</t>
  </si>
  <si>
    <t>ショップ発注</t>
  </si>
  <si>
    <t>到着予定日</t>
  </si>
  <si>
    <t>状態</t>
  </si>
  <si>
    <t>状況</t>
  </si>
  <si>
    <t>検品ﾌﾟﾗﾝ</t>
  </si>
  <si>
    <t>発送先住所</t>
  </si>
  <si>
    <t>納品指示</t>
  </si>
  <si>
    <t xml:space="preserve">https://detail.1688.com/offer/727871735268.html?kj_agent_plugin=aliprice&amp;fromkv=xytTrace:212bc12a17558834780305300e0ebf&amp;token=qZ23uDxRxHMRZDYb4yeKIhtVniJS55%2FJDCwdFKkyko1JX3ncMqg0hKg4BWxggxYT
https://detail.1688.com/offer/816988584820.html?kj_agent_plugin=aliprice&amp;fromkv=xytTrace:212bc12a17558834780305300e0ebf&amp;token=GuS0T86Qfmj81B7Yh0B9xhtVniJS55%2FJDCwdFKkyko1JX3ncMqg0hKg4BWxggxYT
</t>
  </si>
  <si>
    <t xml:space="preserve">白色 
36 x 10
｢白色の靴で時々、靴表面に汚れがあります。必ずショップに汚れていない商品を出荷依頼してください。｣	</t>
  </si>
  <si>
    <t>2026/01/26</t>
  </si>
  <si>
    <t>2026/01/30</t>
  </si>
  <si>
    <t>仕様確認</t>
  </si>
  <si>
    <t>久米 由貴
大阪府大阪市都島区東野田町1丁目10-3
ル・アーブル東野田301号室
070-8481-8260</t>
  </si>
  <si>
    <t>・靴箱は廃棄して下さい。
・OPP袋入れ替え（同じサイズで1組ずつ、コンパクトになるようOPP袋に入れてください）
・商品が中で動かないようにきっちりOPP袋に封入してほしい。
・｢袋替え作業の際に、表面に汚れが確認されたら、汚れ取りをしてください。時給費用了承済｣</t>
  </si>
  <si>
    <t xml:space="preserve">https://detail.1688.com/offer/656603337638.html?kj_agent_plugin=aliprice&amp;fromkv=xytTrace:2146938717684924665577289e0ee7&amp;token=UWBErPJOsHj5G3KsVZ2D3xSmK1ov9EHoOgbxuW9a2Bv1JQ%2B%2FV30TxAdW9d7pnvUb
https://detail.1688.com/offer/989355036510.html?kj_agent_plugin=aliprice&amp;fromkv=xytTrace:2154647417684919062497336e0e2d&amp;token=nIyvONOTlXg9HFJYZj7w7Rk1al9qYJFJvojcx6CUy98v2rE2eA3hFA0I2kqhL1I2
</t>
  </si>
  <si>
    <t xml:space="preserve">B889好质量纯黑
26 x 5
27 x 5
28 x 5
</t>
  </si>
  <si>
    <t>2026/02/02</t>
  </si>
  <si>
    <t>ボタンホール開け15枚分の費用を、近日中に返金いたします。2/4</t>
  </si>
  <si>
    <t>袋に、サイズ情報がなければ、サイズシールを貼ってください。
袋が半透明あるいは片面が透けない場合には、袋を捨てて、新しいOPP袋に入れ替えて、サイズシールを貼ってください。</t>
  </si>
  <si>
    <t xml:space="preserve">https://detail.1688.com/offer/687661777315.html?kj_agent_plugin=aliprice&amp;fromkv=xytTrace%3A2127a84b17684963362147930e107a&amp;token=tQR1t2jFdDNxaFkYhVkgySx70WHYeLegKKkECfYgKvCPNF8hathtShV%2BLzNkauy%2B&amp;tracelog=cps&amp;clickid=dd24ce03ace25ffb0d48f1360d4976f9&amp;targetUrl=https%3A%2F%2Fs.click.1688.com%2Ft%3Fe%
https://detail.1688.com/offer/655874965540.html?kj_agent_plugin=aliprice&amp;fromkv=xytTrace%3A21080f7717684961304236258e10a5&amp;token=gFyBBINQ9W4pzlcgqHmZWcBioyuDKe4gPJ2ur9Q%2BnSQKS5AmiTOXUCxI4Si38z25&amp;tracelog=cps&amp;clickid=fd4f404cf5fdb270853e4abee7f07e6b&amp;targetUrl=https%3A%2F%2Fs.click.1688.com%2Ft%3Fe%3D
</t>
  </si>
  <si>
    <t xml:space="preserve">藕粉色
110cm x 4
120cm x 4
130cm x 4
</t>
  </si>
  <si>
    <t xml:space="preserve">https://detail.1688.com/offer/798304850117.html?kj_agent_plugin=aliprice&amp;fromkv=xytTrace:0b52090217685763757046409e0fc6&amp;token=HH911O2sax9rjGH8SD0%2FD2J8CJMHByxFMV2bLcnqufAuKM5sENDXuJOPdiUS1IxI
https://detail.1688.com/offer/1002045377401.html?spm=a26352.b28411319/2508.0.0
</t>
  </si>
  <si>
    <t xml:space="preserve">白色
M x 5
L x 5
黑色
M x 3
L x 3
</t>
  </si>
  <si>
    <t>出荷されていた、1/30CiLEL南通に到着予定です。（1/29確認）</t>
  </si>
  <si>
    <t>袋に、サイズ情報がなければ、サイズシールを貼ってください。</t>
  </si>
  <si>
    <t xml:space="preserve">https://detail.1688.com/offer/979269619945.html?spm=a26352.b28411319/2508.0.0
https://detail.1688.com/offer/764072605100.html?spm=a26352.b28411319/2508.0.0&amp;cosite=-&amp;tracelog=p4p&amp;_p_isad=1&amp;clickid=04ca26b9c72142e18f74aaac6ca9b4b5&amp;sessionid=31bc5bd4f451a61545bb2236cd1d6d59
</t>
  </si>
  <si>
    <t xml:space="preserve">白色
M x 4
L x 4
黑色
M x 4
L x 4
</t>
  </si>
  <si>
    <t xml:space="preserve">https://detail.1688.com/offer/610746514165.html?kj_agent_plugin=aliprice&amp;fromkv=xytTrace%3A21080f7717689252901391367e0e31&amp;token=nZbcXTfhalVXs7WFVAFFMvy%2FJ7pCC7fpwJf90Lcd8Bx%2B5Mh0qoXjuiJm%2BoLr90lU&amp;tracelog=cps&amp;clickid=e8cf2e1b256a29d8771df5175038265d&amp;targetUrl=https%3A%2F%2Fs.click.1688.com%2Ft%3F
https://detail.1688.com/offer/527481382109.html?kj_agent_plugin=aliprice&amp;fromkv=xytTrace:21080f7717689252901391367e0e31&amp;token=HzPZ7H8aU5VQp23JkL%2Bn%2F%2Fy%2FJ7pCC7fpwJf90Lcd8Bx%2B5Mh0qoXjuiJm%2BoLr90lU
</t>
  </si>
  <si>
    <t xml:space="preserve">【西裙】薄款
M x 5
L x 5
XL x 5
</t>
  </si>
  <si>
    <t>　</t>
  </si>
  <si>
    <t>日本円合計</t>
  </si>
  <si>
    <t>1商品あたりの経費（参考）</t>
  </si>
  <si>
    <t>※本シートの金額計算は参考です。</t>
  </si>
  <si>
    <t>※小数点以下は切り上げています</t>
  </si>
</sst>
</file>

<file path=xl/styles.xml><?xml version="1.0" encoding="utf-8"?>
<styleSheet xmlns="http://schemas.openxmlformats.org/spreadsheetml/2006/main" xml:space="preserve">
  <numFmts count="6">
    <numFmt numFmtId="164" formatCode="m&quot;月&quot;d&quot;日&quot;;@"/>
    <numFmt numFmtId="165" formatCode="0_);\(0\)"/>
    <numFmt numFmtId="166" formatCode="&quot;¥&quot;#,##0_);\(&quot;¥&quot;#,##0\)"/>
    <numFmt numFmtId="167" formatCode="0_ "/>
    <numFmt numFmtId="168" formatCode="[$¥-411]#,##0;\-[$¥-411]#,##0"/>
    <numFmt numFmtId="169" formatCode="m&quot;月&quot;d&quot;日&quot;;\-;\-;@"/>
  </numFmts>
  <fonts count="24">
    <font>
      <b val="0"/>
      <i val="0"/>
      <strike val="0"/>
      <u val="none"/>
      <sz val="11"/>
      <color rgb="FF000000"/>
      <name val="ＭＳ Ｐゴシック"/>
    </font>
    <font>
      <b val="1"/>
      <i val="0"/>
      <strike val="0"/>
      <u val="single"/>
      <sz val="14"/>
      <color rgb="FF000000"/>
      <name val="ＭＳ Ｐゴシック"/>
    </font>
    <font>
      <b val="1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2"/>
      <color rgb="FF000000"/>
      <name val="ＭＳ Ｐゴシック"/>
    </font>
    <font>
      <b val="1"/>
      <i val="0"/>
      <strike val="0"/>
      <u val="none"/>
      <sz val="12"/>
      <color rgb="FF000000"/>
      <name val="ＭＳ Ｐゴシック"/>
    </font>
    <font>
      <b val="1"/>
      <i val="0"/>
      <strike val="0"/>
      <u val="none"/>
      <sz val="10"/>
      <color rgb="FF000000"/>
      <name val="ＭＳ Ｐゴシック"/>
    </font>
    <font>
      <b val="1"/>
      <i val="0"/>
      <strike val="0"/>
      <u val="none"/>
      <sz val="12"/>
      <color rgb="FFFF0000"/>
      <name val="ＭＳ Ｐゴシック"/>
    </font>
    <font>
      <b val="1"/>
      <i val="0"/>
      <strike val="0"/>
      <u val="none"/>
      <sz val="18"/>
      <color rgb="FF000000"/>
      <name val="ＭＳ Ｐゴシック"/>
    </font>
    <font>
      <b val="1"/>
      <i val="0"/>
      <strike val="0"/>
      <u val="none"/>
      <sz val="14"/>
      <color rgb="FF000000"/>
      <name val="ＭＳ Ｐゴシック"/>
    </font>
    <font>
      <b val="1"/>
      <i val="0"/>
      <strike val="0"/>
      <u val="single"/>
      <sz val="20"/>
      <color rgb="FF000000"/>
      <name val="ＭＳ Ｐゴシック"/>
    </font>
    <font>
      <b val="1"/>
      <i val="0"/>
      <strike val="0"/>
      <u val="none"/>
      <sz val="14"/>
      <color rgb="FFFF0000"/>
      <name val="ＭＳ Ｐゴシック"/>
    </font>
    <font>
      <b val="0"/>
      <i val="0"/>
      <strike val="0"/>
      <u val="none"/>
      <sz val="14"/>
      <color rgb="FF000000"/>
      <name val="ＭＳ Ｐゴシック"/>
    </font>
    <font>
      <b val="0"/>
      <i val="0"/>
      <strike val="0"/>
      <u val="none"/>
      <sz val="11"/>
      <color rgb="FFFFFFFF"/>
      <name val="ＭＳ Ｐゴシック"/>
    </font>
    <font>
      <b val="1"/>
      <i val="0"/>
      <strike val="0"/>
      <u val="none"/>
      <sz val="26"/>
      <color rgb="FF000000"/>
      <name val="ＭＳ Ｐゴシック"/>
    </font>
    <font>
      <b val="1"/>
      <i val="0"/>
      <strike val="0"/>
      <u val="none"/>
      <sz val="20"/>
      <color rgb="FF000000"/>
      <name val="ＭＳ Ｐゴシック"/>
    </font>
    <font>
      <b val="0"/>
      <i val="0"/>
      <strike val="0"/>
      <u val="single"/>
      <sz val="14"/>
      <color rgb="FF800080"/>
      <name val="ＭＳ Ｐゴシック"/>
    </font>
    <font>
      <b val="0"/>
      <i val="0"/>
      <strike val="0"/>
      <u val="single"/>
      <sz val="14"/>
      <color rgb="FF0000FF"/>
      <name val="ＭＳ Ｐゴシック"/>
    </font>
    <font>
      <b val="1"/>
      <i val="0"/>
      <strike val="0"/>
      <u val="none"/>
      <sz val="14"/>
      <color rgb="FFFFFFFF"/>
      <name val="ＭＳ Ｐゴシック"/>
    </font>
    <font>
      <b val="1"/>
      <i val="0"/>
      <strike val="0"/>
      <u val="none"/>
      <sz val="16"/>
      <color rgb="FF000000"/>
      <name val="ＭＳ Ｐゴシック"/>
    </font>
    <font>
      <b val="1"/>
      <i val="0"/>
      <strike val="0"/>
      <u val="single"/>
      <sz val="18"/>
      <color rgb="FF000000"/>
      <name val="ＭＳ Ｐゴシック"/>
    </font>
    <font>
      <b val="0"/>
      <i val="0"/>
      <strike val="0"/>
      <u val="none"/>
      <sz val="18"/>
      <color rgb="FF000000"/>
      <name val="ＭＳ Ｐゴシック"/>
    </font>
    <font>
      <b val="0"/>
      <i val="0"/>
      <strike val="0"/>
      <u val="none"/>
      <sz val="24"/>
      <color rgb="FF000000"/>
      <name val="ＭＳ Ｐゴシック"/>
    </font>
    <font>
      <b val="1"/>
      <i val="0"/>
      <strike val="0"/>
      <u val="none"/>
      <sz val="22"/>
      <color rgb="FFFF0000"/>
      <name val="ＭＳ Ｐゴシック"/>
    </font>
    <font>
      <b val="0"/>
      <i val="0"/>
      <strike val="0"/>
      <u val="single"/>
      <sz val="12"/>
      <color rgb="FF800080"/>
      <name val="ＭＳ Ｐゴシック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FFCC00"/>
        <bgColor rgb="FFFFFFFF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91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2" numFmtId="164" fillId="2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center" textRotation="0" wrapText="false" shrinkToFit="false"/>
    </xf>
    <xf xfId="0" fontId="3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1">
      <alignment horizontal="left" vertical="center" textRotation="0" wrapText="tru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165" fillId="4" borderId="1" applyFont="1" applyNumberFormat="1" applyFill="1" applyBorder="1" applyAlignment="1">
      <alignment horizontal="center" vertical="center" textRotation="0" wrapText="false" shrinkToFit="false"/>
    </xf>
    <xf xfId="0" fontId="5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164" fillId="4" borderId="1" applyFont="1" applyNumberFormat="1" applyFill="1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165" fillId="4" borderId="3" applyFont="1" applyNumberFormat="1" applyFill="1" applyBorder="1" applyAlignment="1">
      <alignment horizontal="center" vertical="center" textRotation="0" wrapText="false" shrinkToFit="false"/>
    </xf>
    <xf xfId="0" fontId="4" numFmtId="164" fillId="4" borderId="3" applyFont="1" applyNumberFormat="1" applyFill="1" applyBorder="1" applyAlignment="1">
      <alignment horizontal="center" vertical="center" textRotation="0" wrapText="false" shrinkToFit="false"/>
    </xf>
    <xf xfId="0" fontId="3" numFmtId="0" fillId="4" borderId="3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tru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4" applyFont="1" applyNumberFormat="0" applyFill="1" applyBorder="1" applyAlignment="1">
      <alignment horizontal="center" vertical="center" textRotation="0" wrapText="tru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true"/>
    </xf>
    <xf xfId="0" fontId="4" numFmtId="164" fillId="5" borderId="1" applyFont="1" applyNumberFormat="1" applyFill="1" applyBorder="1" applyAlignment="1">
      <alignment horizontal="center" vertical="center" textRotation="0" wrapText="false" shrinkToFit="true"/>
    </xf>
    <xf xfId="0" fontId="2" numFmtId="0" fillId="2" borderId="5" applyFont="1" applyNumberFormat="0" applyFill="0" applyBorder="1" applyAlignment="0">
      <alignment horizontal="general" vertical="center" textRotation="0" wrapText="false" shrinkToFit="false"/>
    </xf>
    <xf xfId="0" fontId="6" numFmtId="0" fillId="2" borderId="0" applyFont="1" applyNumberFormat="0" applyFill="0" applyBorder="0" applyAlignment="0">
      <alignment horizontal="general" vertical="center" textRotation="0" wrapText="false" shrinkToFit="false"/>
    </xf>
    <xf xfId="0" fontId="7" numFmtId="0" fillId="2" borderId="0" applyFont="1" applyNumberFormat="0" applyFill="0" applyBorder="0" applyAlignment="1">
      <alignment horizontal="center" vertical="center" textRotation="0" wrapText="false" shrinkToFit="false"/>
    </xf>
    <xf xfId="0" fontId="8" numFmtId="164" fillId="2" borderId="0" applyFont="1" applyNumberFormat="1" applyFill="0" applyBorder="0" applyAlignment="1">
      <alignment horizontal="center" vertical="center" textRotation="0" wrapText="false" shrinkToFit="false"/>
    </xf>
    <xf xfId="0" fontId="8" numFmtId="166" fillId="2" borderId="0" applyFont="1" applyNumberFormat="1" applyFill="0" applyBorder="0" applyAlignment="0">
      <alignment horizontal="general" vertical="center" textRotation="0" wrapText="false" shrinkToFit="false"/>
    </xf>
    <xf xfId="0" fontId="2" numFmtId="167" fillId="4" borderId="1" applyFont="1" applyNumberFormat="1" applyFill="1" applyBorder="1" applyAlignment="1">
      <alignment horizontal="center" vertical="center" textRotation="0" wrapText="false" shrinkToFit="tru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9" numFmtId="166" fillId="2" borderId="0" applyFont="1" applyNumberFormat="1" applyFill="0" applyBorder="0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1">
      <alignment horizontal="center" vertical="center" textRotation="0" wrapText="false" shrinkToFit="false"/>
    </xf>
    <xf xfId="0" fontId="8" numFmtId="167" fillId="2" borderId="0" applyFont="1" applyNumberFormat="1" applyFill="0" applyBorder="0" applyAlignment="1">
      <alignment horizontal="center" vertical="center" textRotation="0" wrapText="false" shrinkToFit="false"/>
    </xf>
    <xf xfId="0" fontId="10" numFmtId="0" fillId="2" borderId="0" applyFont="1" applyNumberFormat="0" applyFill="0" applyBorder="0" applyAlignment="0">
      <alignment horizontal="general" vertical="center" textRotation="0" wrapText="false" shrinkToFit="false"/>
    </xf>
    <xf xfId="0" fontId="11" numFmtId="0" fillId="2" borderId="0" applyFont="1" applyNumberFormat="0" applyFill="0" applyBorder="0" applyAlignment="0">
      <alignment horizontal="general" vertical="center" textRotation="0" wrapText="false" shrinkToFit="false"/>
    </xf>
    <xf xfId="0" fontId="1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167" fillId="4" borderId="1" applyFont="1" applyNumberFormat="1" applyFill="1" applyBorder="1" applyAlignment="0">
      <alignment horizontal="general" vertical="center" textRotation="0" wrapText="false" shrinkToFit="false"/>
    </xf>
    <xf xfId="0" fontId="8" numFmtId="0" fillId="2" borderId="1" applyFont="1" applyNumberFormat="0" applyFill="0" applyBorder="1" applyAlignment="1">
      <alignment horizontal="center" vertical="center" textRotation="0" wrapText="false" shrinkToFit="false"/>
    </xf>
    <xf xfId="0" fontId="8" numFmtId="0" fillId="2" borderId="1" applyFont="1" applyNumberFormat="0" applyFill="0" applyBorder="1" applyAlignment="1">
      <alignment horizontal="left" vertical="center" textRotation="0" wrapText="true" shrinkToFit="false"/>
    </xf>
    <xf xfId="0" fontId="8" numFmtId="0" fillId="2" borderId="3" applyFont="1" applyNumberFormat="0" applyFill="0" applyBorder="1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1">
      <alignment horizontal="center" vertical="center" textRotation="0" wrapText="false" shrinkToFit="false"/>
    </xf>
    <xf xfId="0" fontId="13" numFmtId="0" fillId="2" borderId="0" applyFont="1" applyNumberFormat="0" applyFill="0" applyBorder="0" applyAlignment="1">
      <alignment horizontal="center" vertical="center" textRotation="0" wrapText="false" shrinkToFit="false"/>
    </xf>
    <xf xfId="0" fontId="14" numFmtId="0" fillId="2" borderId="0" applyFont="1" applyNumberFormat="0" applyFill="0" applyBorder="0" applyAlignment="1">
      <alignment horizontal="center" vertical="center" textRotation="0" wrapText="false" shrinkToFit="false"/>
    </xf>
    <xf xfId="0" fontId="10" numFmtId="0" fillId="2" borderId="0" applyFont="1" applyNumberFormat="0" applyFill="0" applyBorder="0" applyAlignment="1">
      <alignment horizontal="left" vertical="center" textRotation="0" wrapText="false" shrinkToFit="false"/>
    </xf>
    <xf xfId="0" fontId="9" numFmtId="166" fillId="2" borderId="0" applyFont="1" applyNumberFormat="1" applyFill="0" applyBorder="0" applyAlignment="1">
      <alignment horizontal="center" vertical="center" textRotation="0" wrapText="false" shrinkToFit="false"/>
    </xf>
    <xf xfId="0" fontId="8" numFmtId="164" fillId="2" borderId="0" applyFont="1" applyNumberFormat="1" applyFill="0" applyBorder="0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right" vertical="center" textRotation="0" wrapText="false" shrinkToFit="false"/>
    </xf>
    <xf xfId="0" fontId="7" numFmtId="0" fillId="2" borderId="0" applyFont="1" applyNumberFormat="0" applyFill="0" applyBorder="0" applyAlignment="1">
      <alignment horizontal="right" vertical="center" textRotation="0" wrapText="false" shrinkToFit="true"/>
    </xf>
    <xf xfId="0" fontId="8" numFmtId="0" fillId="2" borderId="0" applyFont="1" applyNumberFormat="0" applyFill="0" applyBorder="0" applyAlignment="0">
      <alignment horizontal="general" vertical="center" textRotation="0" wrapText="false" shrinkToFit="false"/>
    </xf>
    <xf xfId="0" fontId="8" numFmtId="0" fillId="4" borderId="0" applyFont="1" applyNumberFormat="0" applyFill="1" applyBorder="0" applyAlignment="1">
      <alignment horizontal="center" vertical="center" textRotation="0" wrapText="false" shrinkToFit="false"/>
    </xf>
    <xf xfId="0" fontId="8" numFmtId="9" fillId="4" borderId="0" applyFont="1" applyNumberFormat="1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15" numFmtId="0" fillId="2" borderId="0" applyFont="1" applyNumberFormat="0" applyFill="0" applyBorder="0" applyAlignment="1">
      <alignment horizontal="center" vertical="center" textRotation="0" wrapText="false" shrinkToFit="true"/>
    </xf>
    <xf xfId="0" fontId="16" numFmtId="0" fillId="2" borderId="0" applyFont="1" applyNumberFormat="0" applyFill="0" applyBorder="0" applyAlignment="1">
      <alignment horizontal="center" vertical="center" textRotation="0" wrapText="false" shrinkToFit="true"/>
    </xf>
    <xf xfId="0" fontId="8" numFmtId="0" fillId="2" borderId="0" applyFont="1" applyNumberFormat="0" applyFill="0" applyBorder="0" applyAlignment="1">
      <alignment horizontal="center" vertical="center" textRotation="0" wrapText="false" shrinkToFit="true"/>
    </xf>
    <xf xfId="0" fontId="2" numFmtId="167" fillId="2" borderId="0" applyFont="1" applyNumberFormat="1" applyFill="0" applyBorder="0" applyAlignment="1">
      <alignment horizontal="center" vertical="center" textRotation="0" wrapText="false" shrinkToFit="true"/>
    </xf>
    <xf xfId="0" fontId="2" numFmtId="167" fillId="2" borderId="0" applyFont="1" applyNumberFormat="1" applyFill="0" applyBorder="0" applyAlignment="0">
      <alignment horizontal="general" vertical="center" textRotation="0" wrapText="false" shrinkToFit="false"/>
    </xf>
    <xf xfId="0" fontId="17" numFmtId="0" fillId="2" borderId="0" applyFont="1" applyNumberFormat="0" applyFill="0" applyBorder="0" applyAlignment="1">
      <alignment horizontal="center" vertical="center" textRotation="0" wrapText="false" shrinkToFit="false"/>
    </xf>
    <xf xfId="0" fontId="17" numFmtId="0" fillId="2" borderId="5" applyFont="1" applyNumberFormat="0" applyFill="0" applyBorder="1" applyAlignment="1">
      <alignment horizontal="center" vertical="center" textRotation="0" wrapText="false" shrinkToFit="false"/>
    </xf>
    <xf xfId="0" fontId="18" numFmtId="0" fillId="2" borderId="0" applyFont="1" applyNumberFormat="0" applyFill="0" applyBorder="0" applyAlignment="0">
      <alignment horizontal="general" vertical="center" textRotation="0" wrapText="false" shrinkToFit="false"/>
    </xf>
    <xf xfId="0" fontId="19" numFmtId="0" fillId="2" borderId="0" applyFont="1" applyNumberFormat="0" applyFill="0" applyBorder="0" applyAlignment="1">
      <alignment horizontal="left" vertical="center" textRotation="0" wrapText="false" shrinkToFit="false"/>
    </xf>
    <xf xfId="0" fontId="7" numFmtId="0" fillId="2" borderId="0" applyFont="1" applyNumberFormat="0" applyFill="0" applyBorder="0" applyAlignment="1">
      <alignment horizontal="right" vertical="center" textRotation="0" wrapText="false" shrinkToFit="true"/>
    </xf>
    <xf xfId="0" fontId="8" numFmtId="0" fillId="2" borderId="0" applyFont="1" applyNumberFormat="0" applyFill="0" applyBorder="0" applyAlignment="1">
      <alignment horizontal="left" vertical="bottom" textRotation="0" wrapText="false" shrinkToFit="false"/>
    </xf>
    <xf xfId="0" fontId="8" numFmtId="0" fillId="2" borderId="0" applyFont="1" applyNumberFormat="0" applyFill="0" applyBorder="0" applyAlignment="1">
      <alignment horizontal="general" vertical="bottom" textRotation="0" wrapText="false" shrinkToFit="false"/>
    </xf>
    <xf xfId="0" fontId="8" numFmtId="0" fillId="2" borderId="6" applyFont="1" applyNumberFormat="0" applyFill="0" applyBorder="1" applyAlignment="1">
      <alignment horizontal="center" vertical="center" textRotation="0" wrapText="false" shrinkToFit="true"/>
    </xf>
    <xf xfId="0" fontId="8" numFmtId="0" fillId="5" borderId="7" applyFont="1" applyNumberFormat="0" applyFill="1" applyBorder="1" applyAlignment="1">
      <alignment horizontal="center" vertical="center" textRotation="0" wrapText="false" shrinkToFit="true"/>
    </xf>
    <xf xfId="0" fontId="8" numFmtId="0" fillId="2" borderId="7" applyFont="1" applyNumberFormat="0" applyFill="0" applyBorder="1" applyAlignment="1">
      <alignment horizontal="center" vertical="center" textRotation="0" wrapText="false" shrinkToFit="true"/>
    </xf>
    <xf xfId="0" fontId="8" numFmtId="0" fillId="5" borderId="6" applyFont="1" applyNumberFormat="0" applyFill="1" applyBorder="1" applyAlignment="1">
      <alignment horizontal="center" vertical="center" textRotation="0" wrapText="false" shrinkToFit="true"/>
    </xf>
    <xf xfId="0" fontId="1" numFmtId="14" fillId="2" borderId="0" applyFont="1" applyNumberFormat="1" applyFill="0" applyBorder="0" applyAlignment="1">
      <alignment horizontal="general" vertical="center" textRotation="0" wrapText="false" shrinkToFit="tru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2" numFmtId="49" fillId="4" borderId="1" applyFont="1" applyNumberFormat="1" applyFill="1" applyBorder="1" applyAlignment="1">
      <alignment horizontal="center" vertical="center" textRotation="0" wrapText="false" shrinkToFit="false"/>
    </xf>
    <xf xfId="0" fontId="8" numFmtId="0" fillId="4" borderId="3" applyFont="1" applyNumberFormat="0" applyFill="1" applyBorder="1" applyAlignment="1">
      <alignment horizontal="center" vertical="center" textRotation="0" wrapText="false" shrinkToFit="false"/>
    </xf>
    <xf xfId="0" fontId="8" numFmtId="0" fillId="4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7" numFmtId="0" fillId="2" borderId="0" applyFont="1" applyNumberFormat="0" applyFill="0" applyBorder="0" applyAlignment="1">
      <alignment horizontal="right" vertical="center" textRotation="0" wrapText="false" shrinkToFit="true"/>
    </xf>
    <xf xfId="0" fontId="4" numFmtId="0" fillId="5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20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right" vertical="center" textRotation="0" wrapText="false" shrinkToFit="false"/>
    </xf>
    <xf xfId="0" fontId="13" numFmtId="0" fillId="2" borderId="0" applyFont="1" applyNumberFormat="0" applyFill="0" applyBorder="0" applyAlignment="1">
      <alignment horizontal="center" vertical="center" textRotation="0" wrapText="false" shrinkToFit="false"/>
    </xf>
    <xf xfId="0" fontId="21" numFmtId="0" fillId="2" borderId="0" applyFont="1" applyNumberFormat="0" applyFill="0" applyBorder="0" applyAlignment="1">
      <alignment horizontal="center" vertical="center" textRotation="0" wrapText="false" shrinkToFit="false"/>
    </xf>
    <xf xfId="0" fontId="8" numFmtId="168" fillId="2" borderId="4" applyFont="1" applyNumberFormat="1" applyFill="0" applyBorder="1" applyAlignment="1">
      <alignment horizontal="center" vertical="center" textRotation="0" wrapText="false" shrinkToFit="false"/>
    </xf>
    <xf xfId="0" fontId="8" numFmtId="168" fillId="2" borderId="8" applyFont="1" applyNumberFormat="1" applyFill="0" applyBorder="1" applyAlignment="1">
      <alignment horizontal="center" vertical="center" textRotation="0" wrapText="false" shrinkToFit="false"/>
    </xf>
    <xf xfId="0" fontId="8" numFmtId="168" fillId="2" borderId="2" applyFont="1" applyNumberFormat="1" applyFill="0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1">
      <alignment horizontal="center" vertical="center" textRotation="0" wrapText="false" shrinkToFit="false"/>
    </xf>
    <xf xfId="0" fontId="0" numFmtId="0" fillId="2" borderId="8" applyFont="0" applyNumberFormat="0" applyFill="0" applyBorder="1" applyAlignment="1">
      <alignment horizontal="center" vertical="center" textRotation="0" wrapText="false" shrinkToFit="false"/>
    </xf>
    <xf xfId="0" fontId="0" numFmtId="0" fillId="2" borderId="2" applyFont="0" applyNumberFormat="0" applyFill="0" applyBorder="1" applyAlignment="1">
      <alignment horizontal="center" vertical="center" textRotation="0" wrapText="false" shrinkToFit="false"/>
    </xf>
    <xf xfId="0" fontId="8" numFmtId="0" fillId="5" borderId="4" applyFont="1" applyNumberFormat="0" applyFill="1" applyBorder="1" applyAlignment="1">
      <alignment horizontal="center" vertical="center" textRotation="0" wrapText="false" shrinkToFit="true"/>
    </xf>
    <xf xfId="0" fontId="8" numFmtId="0" fillId="5" borderId="8" applyFont="1" applyNumberFormat="0" applyFill="1" applyBorder="1" applyAlignment="1">
      <alignment horizontal="center" vertical="center" textRotation="0" wrapText="false" shrinkToFit="true"/>
    </xf>
    <xf xfId="0" fontId="8" numFmtId="0" fillId="5" borderId="2" applyFont="1" applyNumberFormat="0" applyFill="1" applyBorder="1" applyAlignment="1">
      <alignment horizontal="center" vertical="center" textRotation="0" wrapText="false" shrinkToFit="true"/>
    </xf>
    <xf xfId="0" fontId="8" numFmtId="0" fillId="5" borderId="4" applyFont="1" applyNumberFormat="0" applyFill="1" applyBorder="1" applyAlignment="1">
      <alignment horizontal="center" vertical="center" textRotation="0" wrapText="false" shrinkToFit="false"/>
    </xf>
    <xf xfId="0" fontId="8" numFmtId="0" fillId="5" borderId="8" applyFont="1" applyNumberFormat="0" applyFill="1" applyBorder="1" applyAlignment="1">
      <alignment horizontal="center" vertical="center" textRotation="0" wrapText="false" shrinkToFit="false"/>
    </xf>
    <xf xfId="0" fontId="8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center" textRotation="0" wrapText="false" shrinkToFit="false"/>
    </xf>
    <xf xfId="0" fontId="4" numFmtId="0" fillId="2" borderId="8" applyFont="1" applyNumberFormat="0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1">
      <alignment horizontal="general" vertical="top" textRotation="0" wrapText="true" shrinkToFit="false"/>
    </xf>
    <xf xfId="0" fontId="0" numFmtId="0" fillId="2" borderId="8" applyFont="0" applyNumberFormat="0" applyFill="0" applyBorder="1" applyAlignment="1">
      <alignment horizontal="general" vertical="top" textRotation="0" wrapText="true" shrinkToFit="false"/>
    </xf>
    <xf xfId="0" fontId="0" numFmtId="0" fillId="2" borderId="2" applyFont="0" applyNumberFormat="0" applyFill="0" applyBorder="1" applyAlignment="1">
      <alignment horizontal="general" vertical="top" textRotation="0" wrapText="true" shrinkToFit="false"/>
    </xf>
    <xf xfId="0" fontId="3" numFmtId="0" fillId="2" borderId="2" applyFont="1" applyNumberFormat="0" applyFill="0" applyBorder="1" applyAlignment="1">
      <alignment horizontal="center" vertical="center" textRotation="0" wrapText="true" shrinkToFit="false"/>
    </xf>
    <xf xfId="0" fontId="4" numFmtId="0" fillId="4" borderId="3" applyFont="1" applyNumberFormat="0" applyFill="1" applyBorder="1" applyAlignment="1">
      <alignment horizontal="center" vertical="center" textRotation="0" wrapText="true" shrinkToFit="false"/>
    </xf>
    <xf xfId="0" fontId="0" numFmtId="0" fillId="2" borderId="9" applyFont="0" applyNumberFormat="0" applyFill="0" applyBorder="1" applyAlignment="1">
      <alignment horizontal="center" vertical="center" textRotation="0" wrapText="false" shrinkToFit="false"/>
    </xf>
    <xf xfId="0" fontId="0" numFmtId="0" fillId="2" borderId="9" applyFont="0" applyNumberFormat="0" applyFill="0" applyBorder="1" applyAlignment="0">
      <alignment horizontal="general" vertical="center" textRotation="0" wrapText="false" shrinkToFit="false"/>
    </xf>
    <xf xfId="0" fontId="0" numFmtId="0" fillId="2" borderId="10" applyFont="0" applyNumberFormat="0" applyFill="0" applyBorder="1" applyAlignment="1">
      <alignment horizontal="general" vertical="center" textRotation="0" wrapText="true" shrinkToFit="false"/>
    </xf>
    <xf xfId="0" fontId="0" numFmtId="0" fillId="2" borderId="9" applyFont="0" applyNumberFormat="0" applyFill="0" applyBorder="1" applyAlignment="1">
      <alignment horizontal="general" vertical="center" textRotation="0" wrapText="true" shrinkToFit="false"/>
    </xf>
    <xf xfId="0" fontId="0" numFmtId="0" fillId="2" borderId="11" applyFont="0" applyNumberFormat="0" applyFill="0" applyBorder="1" applyAlignment="1">
      <alignment horizontal="general" vertical="center" textRotation="0" wrapText="true" shrinkToFit="false"/>
    </xf>
    <xf xfId="0" fontId="0" numFmtId="0" fillId="2" borderId="12" applyFont="0" applyNumberFormat="0" applyFill="0" applyBorder="1" applyAlignment="1">
      <alignment horizontal="general" vertical="center" textRotation="0" wrapText="true" shrinkToFit="false"/>
    </xf>
    <xf xfId="0" fontId="0" numFmtId="0" fillId="2" borderId="5" applyFont="0" applyNumberFormat="0" applyFill="0" applyBorder="1" applyAlignment="1">
      <alignment horizontal="general" vertical="center" textRotation="0" wrapText="true" shrinkToFit="false"/>
    </xf>
    <xf xfId="0" fontId="0" numFmtId="0" fillId="2" borderId="13" applyFont="0" applyNumberFormat="0" applyFill="0" applyBorder="1" applyAlignment="1">
      <alignment horizontal="general" vertical="center" textRotation="0" wrapText="true" shrinkToFit="false"/>
    </xf>
    <xf xfId="0" fontId="0" numFmtId="0" fillId="4" borderId="10" applyFont="0" applyNumberFormat="0" applyFill="1" applyBorder="1" applyAlignment="1">
      <alignment horizontal="general" vertical="center" textRotation="0" wrapText="true" shrinkToFit="false"/>
    </xf>
    <xf xfId="0" fontId="0" numFmtId="0" fillId="4" borderId="9" applyFont="0" applyNumberFormat="0" applyFill="1" applyBorder="1" applyAlignment="1">
      <alignment horizontal="general" vertical="center" textRotation="0" wrapText="true" shrinkToFit="false"/>
    </xf>
    <xf xfId="0" fontId="0" numFmtId="0" fillId="4" borderId="11" applyFont="0" applyNumberFormat="0" applyFill="1" applyBorder="1" applyAlignment="1">
      <alignment horizontal="general" vertical="center" textRotation="0" wrapText="true" shrinkToFit="false"/>
    </xf>
    <xf xfId="0" fontId="0" numFmtId="0" fillId="4" borderId="12" applyFont="0" applyNumberFormat="0" applyFill="1" applyBorder="1" applyAlignment="1">
      <alignment horizontal="general" vertical="center" textRotation="0" wrapText="true" shrinkToFit="false"/>
    </xf>
    <xf xfId="0" fontId="0" numFmtId="0" fillId="4" borderId="5" applyFont="0" applyNumberFormat="0" applyFill="1" applyBorder="1" applyAlignment="1">
      <alignment horizontal="general" vertical="center" textRotation="0" wrapText="true" shrinkToFit="false"/>
    </xf>
    <xf xfId="0" fontId="0" numFmtId="0" fillId="4" borderId="13" applyFont="0" applyNumberFormat="0" applyFill="1" applyBorder="1" applyAlignment="1">
      <alignment horizontal="general" vertical="center" textRotation="0" wrapText="true" shrinkToFit="false"/>
    </xf>
    <xf xfId="0" fontId="18" numFmtId="164" fillId="4" borderId="14" applyFont="1" applyNumberFormat="1" applyFill="1" applyBorder="1" applyAlignment="1">
      <alignment horizontal="center" vertical="center" textRotation="0" wrapText="false" shrinkToFit="false"/>
    </xf>
    <xf xfId="0" fontId="18" numFmtId="164" fillId="4" borderId="15" applyFont="1" applyNumberFormat="1" applyFill="1" applyBorder="1" applyAlignment="1">
      <alignment horizontal="center" vertical="center" textRotation="0" wrapText="false" shrinkToFit="false"/>
    </xf>
    <xf xfId="0" fontId="8" numFmtId="0" fillId="4" borderId="16" applyFont="1" applyNumberFormat="0" applyFill="1" applyBorder="1" applyAlignment="1">
      <alignment horizontal="center" vertical="center" textRotation="0" wrapText="false" shrinkToFit="false"/>
    </xf>
    <xf xfId="0" fontId="8" numFmtId="0" fillId="4" borderId="17" applyFont="1" applyNumberFormat="0" applyFill="1" applyBorder="1" applyAlignment="1">
      <alignment horizontal="center" vertical="center" textRotation="0" wrapText="false" shrinkToFit="false"/>
    </xf>
    <xf xfId="0" fontId="8" numFmtId="0" fillId="4" borderId="17" applyFont="1" applyNumberFormat="0" applyFill="1" applyBorder="1" applyAlignment="1">
      <alignment horizontal="center" vertical="center" textRotation="0" wrapText="false" shrinkToFit="false"/>
    </xf>
    <xf xfId="0" fontId="18" numFmtId="0" fillId="5" borderId="18" applyFont="1" applyNumberFormat="0" applyFill="1" applyBorder="1" applyAlignment="1">
      <alignment horizontal="center" vertical="center" textRotation="0" wrapText="false" shrinkToFit="false"/>
    </xf>
    <xf xfId="0" fontId="18" numFmtId="0" fillId="5" borderId="19" applyFont="1" applyNumberFormat="0" applyFill="1" applyBorder="1" applyAlignment="1">
      <alignment horizontal="center" vertical="center" textRotation="0" wrapText="false" shrinkToFit="false"/>
    </xf>
    <xf xfId="0" fontId="8" numFmtId="0" fillId="4" borderId="19" applyFont="1" applyNumberFormat="0" applyFill="1" applyBorder="1" applyAlignment="1">
      <alignment horizontal="center" vertical="center" textRotation="0" wrapText="false" shrinkToFit="false"/>
    </xf>
    <xf xfId="0" fontId="8" numFmtId="0" fillId="4" borderId="14" applyFont="1" applyNumberFormat="0" applyFill="1" applyBorder="1" applyAlignment="1">
      <alignment horizontal="center" vertical="center" textRotation="0" wrapText="false" shrinkToFit="false"/>
    </xf>
    <xf xfId="0" fontId="8" numFmtId="167" fillId="4" borderId="20" applyFont="1" applyNumberFormat="1" applyFill="1" applyBorder="1" applyAlignment="1">
      <alignment horizontal="center" vertical="center" textRotation="0" wrapText="false" shrinkToFit="false"/>
    </xf>
    <xf xfId="0" fontId="8" numFmtId="167" fillId="4" borderId="21" applyFont="1" applyNumberFormat="1" applyFill="1" applyBorder="1" applyAlignment="1">
      <alignment horizontal="center" vertical="center" textRotation="0" wrapText="false" shrinkToFit="false"/>
    </xf>
    <xf xfId="0" fontId="2" numFmtId="167" fillId="4" borderId="4" applyFont="1" applyNumberFormat="1" applyFill="1" applyBorder="1" applyAlignment="0">
      <alignment horizontal="general" vertical="center" textRotation="0" wrapText="false" shrinkToFit="false"/>
    </xf>
    <xf xfId="0" fontId="0" numFmtId="0" fillId="2" borderId="2" applyFont="0" applyNumberFormat="0" applyFill="0" applyBorder="1" applyAlignment="0">
      <alignment horizontal="general" vertical="center" textRotation="0" wrapText="false" shrinkToFit="false"/>
    </xf>
    <xf xfId="0" fontId="14" numFmtId="164" fillId="2" borderId="0" applyFont="1" applyNumberFormat="1" applyFill="0" applyBorder="0" applyAlignment="1">
      <alignment horizontal="center" vertical="center" textRotation="0" wrapText="false" shrinkToFit="false"/>
    </xf>
    <xf xfId="0" fontId="7" numFmtId="0" fillId="2" borderId="0" applyFont="1" applyNumberFormat="0" applyFill="0" applyBorder="0" applyAlignment="1">
      <alignment horizontal="right" vertical="center" textRotation="0" wrapText="false" shrinkToFit="true"/>
    </xf>
    <xf xfId="0" fontId="22" numFmtId="0" fillId="2" borderId="16" applyFont="1" applyNumberFormat="0" applyFill="0" applyBorder="1" applyAlignment="1">
      <alignment horizontal="center" vertical="center" textRotation="0" wrapText="false" shrinkToFit="false"/>
    </xf>
    <xf xfId="0" fontId="22" numFmtId="0" fillId="2" borderId="22" applyFont="1" applyNumberFormat="0" applyFill="0" applyBorder="1" applyAlignment="1">
      <alignment horizontal="center" vertical="center" textRotation="0" wrapText="false" shrinkToFit="false"/>
    </xf>
    <xf xfId="0" fontId="8" numFmtId="164" fillId="2" borderId="0" applyFont="1" applyNumberFormat="1" applyFill="0" applyBorder="0" applyAlignment="1">
      <alignment horizontal="center" vertical="center" textRotation="0" wrapText="false" shrinkToFit="false"/>
    </xf>
    <xf xfId="0" fontId="1" numFmtId="169" fillId="4" borderId="0" applyFont="1" applyNumberFormat="1" applyFill="1" applyBorder="0" applyAlignment="1">
      <alignment horizontal="center" vertical="center" textRotation="0" wrapText="false" shrinkToFit="false"/>
    </xf>
    <xf xfId="0" fontId="14" numFmtId="166" fillId="2" borderId="0" applyFont="1" applyNumberFormat="1" applyFill="0" applyBorder="0" applyAlignment="1">
      <alignment horizontal="left" vertical="center" textRotation="0" wrapText="false" shrinkToFit="true"/>
    </xf>
    <xf xfId="0" fontId="9" numFmtId="166" fillId="2" borderId="0" applyFont="1" applyNumberFormat="1" applyFill="0" applyBorder="0" applyAlignment="1">
      <alignment horizontal="center" vertical="center" textRotation="0" wrapText="false" shrinkToFit="false"/>
    </xf>
    <xf xfId="0" fontId="8" numFmtId="167" fillId="2" borderId="9" applyFont="1" applyNumberFormat="1" applyFill="0" applyBorder="1" applyAlignment="1">
      <alignment horizontal="center" vertical="center" textRotation="0" wrapText="false" shrinkToFit="true"/>
    </xf>
    <xf xfId="0" fontId="11" numFmtId="0" fillId="2" borderId="9" applyFont="1" applyNumberFormat="0" applyFill="0" applyBorder="1" applyAlignment="1">
      <alignment horizontal="center" vertical="center" textRotation="0" wrapText="false" shrinkToFit="true"/>
    </xf>
    <xf xfId="0" fontId="8" numFmtId="167" fillId="4" borderId="23" applyFont="1" applyNumberFormat="1" applyFill="1" applyBorder="1" applyAlignment="1">
      <alignment horizontal="center" vertical="center" textRotation="0" wrapText="false" shrinkToFit="false"/>
    </xf>
    <xf xfId="0" fontId="8" numFmtId="167" fillId="4" borderId="10" applyFont="1" applyNumberFormat="1" applyFill="1" applyBorder="1" applyAlignment="1">
      <alignment horizontal="center" vertical="center" textRotation="0" wrapText="false" shrinkToFit="false"/>
    </xf>
    <xf xfId="0" fontId="8" numFmtId="0" fillId="2" borderId="2" applyFont="1" applyNumberFormat="0" applyFill="0" applyBorder="1" applyAlignment="1">
      <alignment horizontal="center" vertical="center" textRotation="0" wrapText="true" shrinkToFit="false"/>
    </xf>
    <xf xfId="0" fontId="8" numFmtId="0" fillId="2" borderId="1" applyFont="1" applyNumberFormat="0" applyFill="0" applyBorder="1" applyAlignment="1">
      <alignment horizontal="center" vertical="center" textRotation="0" wrapText="true" shrinkToFit="false"/>
    </xf>
    <xf xfId="0" fontId="8" numFmtId="164" fillId="4" borderId="4" applyFont="1" applyNumberFormat="1" applyFill="1" applyBorder="1" applyAlignment="1">
      <alignment horizontal="center" vertical="center" textRotation="0" wrapText="false" shrinkToFit="true"/>
    </xf>
    <xf xfId="0" fontId="8" numFmtId="164" fillId="4" borderId="1" applyFont="1" applyNumberFormat="1" applyFill="1" applyBorder="1" applyAlignment="1">
      <alignment horizontal="center" vertical="center" textRotation="0" wrapText="false" shrinkToFit="true"/>
    </xf>
    <xf xfId="0" fontId="8" numFmtId="168" fillId="4" borderId="1" applyFont="1" applyNumberFormat="1" applyFill="1" applyBorder="1" applyAlignment="1">
      <alignment horizontal="center" vertical="center" textRotation="0" wrapText="false" shrinkToFit="false"/>
    </xf>
    <xf xfId="0" fontId="3" numFmtId="0" fillId="2" borderId="2" applyFont="1" applyNumberFormat="0" applyFill="0" applyBorder="1" applyAlignment="1">
      <alignment horizontal="general" vertical="center" textRotation="0" wrapText="true" shrinkToFit="false"/>
    </xf>
    <xf xfId="0" fontId="3" numFmtId="0" fillId="2" borderId="1" applyFont="1" applyNumberFormat="0" applyFill="0" applyBorder="1" applyAlignment="1">
      <alignment horizontal="general" vertical="center" textRotation="0" wrapText="true" shrinkToFit="false"/>
    </xf>
    <xf xfId="0" fontId="8" numFmtId="0" fillId="2" borderId="6" applyFont="1" applyNumberFormat="0" applyFill="0" applyBorder="1" applyAlignment="1">
      <alignment horizontal="center" vertical="center" textRotation="0" wrapText="false" shrinkToFit="true"/>
    </xf>
    <xf xfId="0" fontId="0" numFmtId="0" fillId="2" borderId="24" applyFont="0" applyNumberFormat="0" applyFill="0" applyBorder="1" applyAlignment="0">
      <alignment horizontal="general" vertical="center" textRotation="0" wrapText="false" shrinkToFit="false"/>
    </xf>
    <xf xfId="0" fontId="3" numFmtId="0" fillId="2" borderId="13" applyFont="1" applyNumberFormat="0" applyFill="0" applyBorder="1" applyAlignment="1">
      <alignment horizontal="general" vertical="center" textRotation="0" wrapText="true" shrinkToFit="false"/>
    </xf>
    <xf xfId="0" fontId="3" numFmtId="0" fillId="2" borderId="3" applyFont="1" applyNumberFormat="0" applyFill="0" applyBorder="1" applyAlignment="1">
      <alignment horizontal="general" vertical="center" textRotation="0" wrapText="true" shrinkToFit="false"/>
    </xf>
    <xf xfId="0" fontId="4" numFmtId="0" fillId="5" borderId="11" applyFont="1" applyNumberFormat="0" applyFill="1" applyBorder="1" applyAlignment="1">
      <alignment horizontal="center" vertical="center" textRotation="0" wrapText="true" shrinkToFit="false"/>
    </xf>
    <xf xfId="0" fontId="4" numFmtId="0" fillId="5" borderId="23" applyFont="1" applyNumberFormat="0" applyFill="1" applyBorder="1" applyAlignment="1">
      <alignment horizontal="center" vertical="center" textRotation="0" wrapText="true" shrinkToFit="false"/>
    </xf>
    <xf xfId="0" fontId="8" numFmtId="0" fillId="5" borderId="1" applyFont="1" applyNumberFormat="0" applyFill="1" applyBorder="1" applyAlignment="1">
      <alignment horizontal="center" vertical="center" textRotation="0" wrapText="false" shrinkToFit="true"/>
    </xf>
    <xf xfId="0" fontId="8" numFmtId="0" fillId="5" borderId="1" applyFont="1" applyNumberFormat="0" applyFill="1" applyBorder="1" applyAlignment="1">
      <alignment horizontal="center" vertical="center" textRotation="0" wrapText="false" shrinkToFit="false"/>
    </xf>
    <xf xfId="0" fontId="23" numFmtId="0" fillId="2" borderId="8" applyFont="1" applyNumberFormat="0" applyFill="0" applyBorder="1" applyAlignment="0">
      <alignment horizontal="general" vertical="center" textRotation="0" wrapText="false" shrinkToFit="false"/>
    </xf>
    <xf xfId="0" fontId="8" numFmtId="0" fillId="2" borderId="0" applyFont="1" applyNumberFormat="0" applyFill="0" applyBorder="0" applyAlignment="1">
      <alignment horizontal="center" vertical="center" textRotation="0" wrapText="false" shrinkToFit="false"/>
    </xf>
    <xf xfId="0" fontId="8" numFmtId="0" fillId="5" borderId="25" applyFont="1" applyNumberFormat="0" applyFill="1" applyBorder="1" applyAlignment="1">
      <alignment horizontal="center" vertical="center" textRotation="0" wrapText="true" shrinkToFit="true"/>
    </xf>
    <xf xfId="0" fontId="8" numFmtId="0" fillId="5" borderId="26" applyFont="1" applyNumberFormat="0" applyFill="1" applyBorder="1" applyAlignment="1">
      <alignment horizontal="center" vertical="center" textRotation="0" wrapText="true" shrinkToFit="true"/>
    </xf>
    <xf xfId="0" fontId="8" numFmtId="0" fillId="5" borderId="27" applyFont="1" applyNumberFormat="0" applyFill="1" applyBorder="1" applyAlignment="1">
      <alignment horizontal="center" vertical="center" textRotation="0" wrapText="false" shrinkToFit="true"/>
    </xf>
    <xf xfId="0" fontId="8" numFmtId="0" fillId="5" borderId="28" applyFont="1" applyNumberFormat="0" applyFill="1" applyBorder="1" applyAlignment="1">
      <alignment horizontal="center" vertical="center" textRotation="0" wrapText="false" shrinkToFit="true"/>
    </xf>
    <xf xfId="0" fontId="8" numFmtId="0" fillId="5" borderId="28" applyFont="1" applyNumberFormat="0" applyFill="1" applyBorder="1" applyAlignment="1">
      <alignment horizontal="center" vertical="center" textRotation="0" wrapText="false" shrinkToFit="false"/>
    </xf>
    <xf xfId="0" fontId="8" numFmtId="0" fillId="5" borderId="29" applyFont="1" applyNumberFormat="0" applyFill="1" applyBorder="1" applyAlignment="1">
      <alignment horizontal="center" vertical="center" textRotation="0" wrapText="false" shrinkToFit="false"/>
    </xf>
    <xf xfId="0" fontId="8" numFmtId="164" fillId="5" borderId="28" applyFont="1" applyNumberFormat="1" applyFill="1" applyBorder="1" applyAlignment="1">
      <alignment horizontal="center" vertical="center" textRotation="0" wrapText="false" shrinkToFit="false"/>
    </xf>
    <xf xfId="0" fontId="8" numFmtId="164" fillId="5" borderId="29" applyFont="1" applyNumberFormat="1" applyFill="1" applyBorder="1" applyAlignment="1">
      <alignment horizontal="center" vertical="center" textRotation="0" wrapText="false" shrinkToFit="false"/>
    </xf>
    <xf xfId="0" fontId="8" numFmtId="0" fillId="5" borderId="30" applyFont="1" applyNumberFormat="0" applyFill="1" applyBorder="1" applyAlignment="1">
      <alignment horizontal="center" vertical="center" textRotation="0" wrapText="false" shrinkToFit="false"/>
    </xf>
    <xf xfId="0" fontId="3" numFmtId="22" fillId="2" borderId="0" applyFont="1" applyNumberFormat="1" applyFill="0" applyBorder="0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15" numFmtId="0" fillId="2" borderId="31" applyFont="1" applyNumberFormat="0" applyFill="0" applyBorder="1" applyAlignment="1">
      <alignment horizontal="center" vertical="center" textRotation="0" wrapText="false" shrinkToFit="true"/>
    </xf>
    <xf xfId="0" fontId="16" numFmtId="0" fillId="2" borderId="14" applyFont="1" applyNumberFormat="0" applyFill="0" applyBorder="1" applyAlignment="1">
      <alignment horizontal="center" vertical="center" textRotation="0" wrapText="false" shrinkToFit="true"/>
    </xf>
    <xf xfId="0" fontId="18" numFmtId="0" fillId="4" borderId="17" applyFont="1" applyNumberFormat="0" applyFill="1" applyBorder="1" applyAlignment="1">
      <alignment horizontal="center" vertical="center" textRotation="0" wrapText="false" shrinkToFit="false"/>
    </xf>
    <xf xfId="0" fontId="0" numFmtId="0" fillId="2" borderId="17" applyFont="0" applyNumberFormat="0" applyFill="0" applyBorder="1" applyAlignment="1">
      <alignment horizontal="center" vertical="center" textRotation="0" wrapText="false" shrinkToFit="false"/>
    </xf>
    <xf xfId="0" fontId="0" numFmtId="0" fillId="2" borderId="22" applyFont="0" applyNumberFormat="0" applyFill="0" applyBorder="1" applyAlignment="1">
      <alignment horizontal="center" vertical="center" textRotation="0" wrapText="false" shrinkToFit="false"/>
    </xf>
    <xf xfId="0" fontId="8" numFmtId="164" fillId="5" borderId="17" applyFont="1" applyNumberFormat="1" applyFill="1" applyBorder="1" applyAlignment="1">
      <alignment horizontal="center" vertical="center" textRotation="0" wrapText="false" shrinkToFit="false"/>
    </xf>
    <xf xfId="0" fontId="0" numFmtId="0" fillId="5" borderId="17" applyFont="0" applyNumberFormat="0" applyFill="1" applyBorder="1" applyAlignment="1">
      <alignment horizontal="center" vertical="center" textRotation="0" wrapText="false" shrinkToFit="false"/>
    </xf>
    <xf xfId="0" fontId="0" numFmtId="0" fillId="5" borderId="22" applyFont="0" applyNumberFormat="0" applyFill="1" applyBorder="1" applyAlignment="1">
      <alignment horizontal="center" vertical="center" textRotation="0" wrapText="false" shrinkToFit="false"/>
    </xf>
    <xf xfId="0" fontId="8" numFmtId="0" fillId="5" borderId="16" applyFont="1" applyNumberFormat="0" applyFill="1" applyBorder="1" applyAlignment="1">
      <alignment horizontal="center" vertical="center" textRotation="0" wrapText="false" shrinkToFit="true"/>
    </xf>
    <xf xfId="0" fontId="8" numFmtId="0" fillId="5" borderId="32" applyFont="1" applyNumberFormat="0" applyFill="1" applyBorder="1" applyAlignment="1">
      <alignment horizontal="center" vertical="center" textRotation="0" wrapText="false" shrinkToFit="true"/>
    </xf>
    <xf xfId="0" fontId="18" numFmtId="0" fillId="5" borderId="16" applyFont="1" applyNumberFormat="0" applyFill="1" applyBorder="1" applyAlignment="1">
      <alignment horizontal="center" vertical="center" textRotation="0" wrapText="false" shrinkToFit="false"/>
    </xf>
    <xf xfId="0" fontId="18" numFmtId="0" fillId="5" borderId="17" applyFont="1" applyNumberFormat="0" applyFill="1" applyBorder="1" applyAlignment="1">
      <alignment horizontal="center" vertical="center" textRotation="0" wrapText="false" shrinkToFit="false"/>
    </xf>
    <xf xfId="0" fontId="8" numFmtId="0" fillId="5" borderId="17" applyFont="1" applyNumberFormat="0" applyFill="1" applyBorder="1" applyAlignment="1">
      <alignment horizontal="center" vertical="center" textRotation="0" wrapText="false" shrinkToFit="false"/>
    </xf>
    <xf xfId="0" fontId="18" numFmtId="164" fillId="5" borderId="17" applyFont="1" applyNumberFormat="1" applyFill="1" applyBorder="1" applyAlignment="1">
      <alignment horizontal="center" vertical="center" textRotation="0" wrapText="false" shrinkToFit="false"/>
    </xf>
    <xf xfId="0" fontId="8" numFmtId="0" fillId="2" borderId="25" applyFont="1" applyNumberFormat="0" applyFill="0" applyBorder="1" applyAlignment="1">
      <alignment horizontal="center" vertical="center" textRotation="0" wrapText="false" shrinkToFit="true"/>
    </xf>
    <xf xfId="0" fontId="8" numFmtId="0" fillId="2" borderId="26" applyFont="1" applyNumberFormat="0" applyFill="0" applyBorder="1" applyAlignment="1">
      <alignment horizontal="center" vertical="center" textRotation="0" wrapText="false" shrinkToFit="true"/>
    </xf>
    <xf xfId="0" fontId="8" numFmtId="167" fillId="4" borderId="33" applyFont="1" applyNumberFormat="1" applyFill="1" applyBorder="1" applyAlignment="1">
      <alignment horizontal="center" vertical="center" textRotation="0" wrapText="false" shrinkToFit="false"/>
    </xf>
    <xf xfId="0" fontId="8" numFmtId="0" fillId="5" borderId="6" applyFont="1" applyNumberFormat="0" applyFill="1" applyBorder="1" applyAlignment="1">
      <alignment horizontal="center" vertical="center" textRotation="0" wrapText="false" shrinkToFit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g11.jpg"/><Relationship Id="rId2" Type="http://schemas.openxmlformats.org/officeDocument/2006/relationships/image" Target="../media/img22.jpg"/><Relationship Id="rId3" Type="http://schemas.openxmlformats.org/officeDocument/2006/relationships/image" Target="../media/img33.jpg"/><Relationship Id="rId4" Type="http://schemas.openxmlformats.org/officeDocument/2006/relationships/image" Target="../media/img44.jpg"/><Relationship Id="rId5" Type="http://schemas.openxmlformats.org/officeDocument/2006/relationships/image" Target="../media/img55.jpg"/><Relationship Id="rId6" Type="http://schemas.openxmlformats.org/officeDocument/2006/relationships/image" Target="../media/img6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</xdr:colOff>
      <xdr:row>13</xdr:row>
      <xdr:rowOff>47625</xdr:rowOff>
    </xdr:from>
    <xdr:ext cx="1381125" cy="1143000"/>
    <xdr:pic>
      <xdr:nvPicPr>
        <xdr:cNvPr id="1" name="img1" descr="商品１画像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14</xdr:row>
      <xdr:rowOff>47625</xdr:rowOff>
    </xdr:from>
    <xdr:ext cx="1381125" cy="1143000"/>
    <xdr:pic>
      <xdr:nvPicPr>
        <xdr:cNvPr id="2" name="img1" descr="商品１画像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15</xdr:row>
      <xdr:rowOff>47625</xdr:rowOff>
    </xdr:from>
    <xdr:ext cx="1381125" cy="1143000"/>
    <xdr:pic>
      <xdr:nvPicPr>
        <xdr:cNvPr id="3" name="img1" descr="商品１画像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16</xdr:row>
      <xdr:rowOff>47625</xdr:rowOff>
    </xdr:from>
    <xdr:ext cx="1381125" cy="1143000"/>
    <xdr:pic>
      <xdr:nvPicPr>
        <xdr:cNvPr id="4" name="img1" descr="商品１画像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17</xdr:row>
      <xdr:rowOff>47625</xdr:rowOff>
    </xdr:from>
    <xdr:ext cx="1381125" cy="1143000"/>
    <xdr:pic>
      <xdr:nvPicPr>
        <xdr:cNvPr id="5" name="img1" descr="商品１画像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18</xdr:row>
      <xdr:rowOff>47625</xdr:rowOff>
    </xdr:from>
    <xdr:ext cx="1381125" cy="1143000"/>
    <xdr:pic>
      <xdr:nvPicPr>
        <xdr:cNvPr id="6" name="img1" descr="商品１画像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S35"/>
  <sheetViews>
    <sheetView tabSelected="1" workbookViewId="0" zoomScale="50" zoomScaleNormal="50" showGridLines="false" showRowColHeaders="1">
      <selection activeCell="A1" sqref="A1"/>
    </sheetView>
  </sheetViews>
  <sheetFormatPr customHeight="true" defaultRowHeight="13.5" outlineLevelRow="0" outlineLevelCol="0"/>
  <cols>
    <col min="1" max="1" width="3.625" customWidth="true" style="5"/>
    <col min="2" max="2" width="14.125" customWidth="true" style="2"/>
    <col min="3" max="3" width="14.5" customWidth="true" style="2"/>
    <col min="4" max="4" width="13.375" customWidth="true" style="2"/>
    <col min="5" max="5" width="18.75" customWidth="true" style="2"/>
    <col min="6" max="6" width="42.5" customWidth="true" style="2"/>
    <col min="7" max="7" width="8.625" customWidth="true" style="2"/>
    <col min="8" max="8" width="8.625" customWidth="true" style="2"/>
    <col min="9" max="9" width="8.625" customWidth="true" style="2"/>
    <col min="10" max="10" width="10.75" customWidth="true" style="2"/>
    <col min="11" max="11" width="10.75" customWidth="true" style="2"/>
    <col min="12" max="12" width="10.75" customWidth="true" style="2"/>
    <col min="13" max="13" width="10.75" customWidth="true" style="2"/>
    <col min="14" max="14" width="10.375" customWidth="true" style="4"/>
    <col min="15" max="15" width="10.375" customWidth="true" style="4"/>
    <col min="16" max="16" width="7.875" customWidth="true" style="3"/>
    <col min="17" max="17" width="10.375" customWidth="true" style="2"/>
    <col min="18" max="18" width="7.375" customWidth="true" style="2"/>
    <col min="19" max="19" width="2.375" customWidth="true" style="2"/>
    <col min="20" max="20" width="6.25" customWidth="true" style="2"/>
    <col min="21" max="21" width="20.375" customWidth="true" style="2"/>
    <col min="22" max="22" width="6.75" customWidth="true" style="2"/>
    <col min="23" max="23" width="3.375" customWidth="true" style="2"/>
    <col min="24" max="24" width="11.25" customWidth="true" style="2"/>
    <col min="25" max="25" width="11.25" customWidth="true" style="2"/>
    <col min="26" max="26" width="3.375" customWidth="true" style="2"/>
    <col min="27" max="27" width="2.5" customWidth="true" style="2"/>
    <col min="28" max="28" width="6.25" customWidth="true" style="2"/>
    <col min="29" max="29" width="20.375" customWidth="true" style="2"/>
    <col min="30" max="30" width="6.75" customWidth="true" style="2"/>
    <col min="31" max="31" width="3.375" customWidth="true" style="2"/>
    <col min="32" max="32" width="11.25" customWidth="true" style="2"/>
    <col min="33" max="33" width="11.25" customWidth="true" style="2"/>
    <col min="34" max="34" width="3.375" customWidth="true" style="2"/>
    <col min="35" max="35" width="9" customWidth="true" style="2"/>
  </cols>
  <sheetData>
    <row r="1" spans="1:45" customHeight="1" ht="34.5">
      <c r="A1" s="5"/>
      <c r="B1" s="49" t="s">
        <v>0</v>
      </c>
      <c r="C1" s="71" t="s">
        <v>1</v>
      </c>
      <c r="D1" s="1"/>
      <c r="E1" s="1"/>
      <c r="F1" s="2"/>
      <c r="G1" s="2"/>
      <c r="H1" s="2"/>
      <c r="I1" s="2"/>
      <c r="J1" s="2"/>
      <c r="K1" s="2"/>
      <c r="L1" s="2"/>
      <c r="M1" s="2"/>
      <c r="N1" s="4"/>
      <c r="O1" s="27" t="s">
        <v>2</v>
      </c>
      <c r="P1" s="161" t="s">
        <v>3</v>
      </c>
      <c r="Q1" s="161"/>
      <c r="R1" s="161"/>
      <c r="S1" s="33"/>
      <c r="T1" s="65" t="s">
        <v>4</v>
      </c>
      <c r="U1" s="2"/>
      <c r="V1" s="2"/>
      <c r="W1" s="2"/>
      <c r="X1" s="37">
        <f>IF(J6&lt;30000,10000,IF(J6&gt;10000,ROUNDDOWN((J6/2),-3)))</f>
        <v>21000</v>
      </c>
      <c r="Y1" s="37"/>
      <c r="Z1" s="2"/>
      <c r="AA1" s="2"/>
      <c r="AB1" s="66" t="s">
        <v>5</v>
      </c>
      <c r="AC1" s="2"/>
      <c r="AD1" s="2"/>
      <c r="AE1" s="2"/>
      <c r="AF1" s="2"/>
      <c r="AG1" s="2"/>
      <c r="AH1" s="2"/>
      <c r="AI1" s="2"/>
      <c r="AJ1"/>
      <c r="AK1"/>
      <c r="AL1"/>
    </row>
    <row r="2" spans="1:45" customHeight="1" ht="36.75">
      <c r="A2" s="43"/>
      <c r="B2" s="43"/>
      <c r="C2" s="43"/>
      <c r="D2" s="43"/>
      <c r="E2" s="84" t="s">
        <v>6</v>
      </c>
      <c r="F2" s="84"/>
      <c r="G2" s="85" t="s">
        <v>7</v>
      </c>
      <c r="H2" s="85"/>
      <c r="I2" s="85"/>
      <c r="J2" s="82" t="s">
        <v>8</v>
      </c>
      <c r="K2" s="81"/>
      <c r="L2" s="43"/>
      <c r="M2" s="43"/>
      <c r="N2" s="43"/>
      <c r="O2" s="54" t="s">
        <v>9</v>
      </c>
      <c r="P2" s="171" t="s">
        <v>10</v>
      </c>
      <c r="Q2" s="172"/>
      <c r="R2" s="172"/>
      <c r="S2" s="2"/>
      <c r="T2" s="108"/>
      <c r="U2" s="109"/>
      <c r="V2" s="109"/>
      <c r="W2" s="109"/>
      <c r="X2" s="109"/>
      <c r="Y2" s="109"/>
      <c r="Z2" s="110"/>
      <c r="AA2" s="2"/>
      <c r="AB2" s="114" t="s">
        <v>11</v>
      </c>
      <c r="AC2" s="115"/>
      <c r="AD2" s="115"/>
      <c r="AE2" s="115"/>
      <c r="AF2" s="115"/>
      <c r="AG2" s="115"/>
      <c r="AH2" s="116"/>
      <c r="AI2" s="2"/>
      <c r="AJ2"/>
      <c r="AK2"/>
      <c r="AL2"/>
      <c r="AM2"/>
      <c r="AN2"/>
      <c r="AO2"/>
      <c r="AP2"/>
    </row>
    <row r="3" spans="1:45" customHeight="1" ht="37.5">
      <c r="A3" s="5"/>
      <c r="B3" s="51" t="s">
        <v>12</v>
      </c>
      <c r="C3" s="35"/>
      <c r="D3" s="35"/>
      <c r="E3" s="36"/>
      <c r="F3" s="36"/>
      <c r="G3" s="2"/>
      <c r="H3" s="2"/>
      <c r="I3" s="2"/>
      <c r="J3" s="2"/>
      <c r="K3" s="2"/>
      <c r="L3" s="2"/>
      <c r="M3" s="44"/>
      <c r="N3" s="44"/>
      <c r="O3" s="44"/>
      <c r="P3" s="44"/>
      <c r="Q3" s="44"/>
      <c r="R3" s="83"/>
      <c r="S3" s="44"/>
      <c r="T3" s="111"/>
      <c r="U3" s="112"/>
      <c r="V3" s="112"/>
      <c r="W3" s="112"/>
      <c r="X3" s="112"/>
      <c r="Y3" s="112"/>
      <c r="Z3" s="113"/>
      <c r="AA3" s="2"/>
      <c r="AB3" s="117"/>
      <c r="AC3" s="118"/>
      <c r="AD3" s="118"/>
      <c r="AE3" s="118"/>
      <c r="AF3" s="118"/>
      <c r="AG3" s="118"/>
      <c r="AH3" s="119"/>
      <c r="AI3" s="2"/>
      <c r="AJ3"/>
      <c r="AK3"/>
      <c r="AL3"/>
      <c r="AM3"/>
      <c r="AN3"/>
    </row>
    <row r="4" spans="1:45" customHeight="1" ht="9.949999999999999">
      <c r="A4" s="5"/>
      <c r="B4" s="51"/>
      <c r="C4" s="35"/>
      <c r="D4" s="35"/>
      <c r="E4" s="36"/>
      <c r="F4" s="36"/>
      <c r="G4" s="2"/>
      <c r="H4" s="2"/>
      <c r="I4" s="2"/>
      <c r="J4" s="2"/>
      <c r="K4" s="2"/>
      <c r="L4" s="2"/>
      <c r="M4" s="44"/>
      <c r="N4" s="44"/>
      <c r="O4" s="44"/>
      <c r="P4" s="44"/>
      <c r="Q4" s="44"/>
      <c r="R4" s="44"/>
      <c r="S4" s="44"/>
      <c r="T4" s="44"/>
      <c r="U4" s="44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/>
      <c r="AK4"/>
      <c r="AL4"/>
      <c r="AM4"/>
      <c r="AN4"/>
    </row>
    <row r="5" spans="1:45" customHeight="1" ht="37.5">
      <c r="A5" s="5"/>
      <c r="B5" s="162" t="s">
        <v>13</v>
      </c>
      <c r="C5" s="162"/>
      <c r="D5" s="163"/>
      <c r="E5" s="68" t="s">
        <v>14</v>
      </c>
      <c r="F5" s="190" t="s">
        <v>15</v>
      </c>
      <c r="G5" s="153"/>
      <c r="H5" s="2"/>
      <c r="I5" s="2"/>
      <c r="J5" s="164" t="s">
        <v>16</v>
      </c>
      <c r="K5" s="165"/>
      <c r="L5" s="166" t="s">
        <v>17</v>
      </c>
      <c r="M5" s="167"/>
      <c r="N5" s="168" t="s">
        <v>18</v>
      </c>
      <c r="O5" s="169"/>
      <c r="P5" s="166" t="s">
        <v>19</v>
      </c>
      <c r="Q5" s="166"/>
      <c r="R5" s="170"/>
      <c r="S5" s="33"/>
      <c r="T5" s="29" t="s">
        <v>20</v>
      </c>
      <c r="U5" s="73" t="s">
        <v>21</v>
      </c>
      <c r="V5" s="30">
        <v>21</v>
      </c>
      <c r="W5" s="31" t="s">
        <v>22</v>
      </c>
      <c r="X5" s="131">
        <v>403</v>
      </c>
      <c r="Y5" s="132"/>
      <c r="Z5" s="78" t="s">
        <v>23</v>
      </c>
      <c r="AA5" s="2"/>
      <c r="AB5" s="29" t="s">
        <v>24</v>
      </c>
      <c r="AC5" s="73"/>
      <c r="AD5" s="30"/>
      <c r="AE5" s="31" t="s">
        <v>22</v>
      </c>
      <c r="AF5" s="38"/>
      <c r="AG5" s="38"/>
      <c r="AH5" s="31" t="s">
        <v>23</v>
      </c>
      <c r="AI5" s="2"/>
      <c r="AJ5"/>
      <c r="AK5"/>
      <c r="AL5"/>
      <c r="AM5"/>
      <c r="AN5"/>
    </row>
    <row r="6" spans="1:45" customHeight="1" ht="37.5">
      <c r="A6" s="5"/>
      <c r="B6" s="187" t="s">
        <v>25</v>
      </c>
      <c r="C6" s="187"/>
      <c r="D6" s="188"/>
      <c r="E6" s="69">
        <v>5340024</v>
      </c>
      <c r="F6" s="152" t="s">
        <v>26</v>
      </c>
      <c r="G6" s="153"/>
      <c r="H6" s="2"/>
      <c r="I6" s="2"/>
      <c r="J6" s="189">
        <f>SUM(L21)</f>
        <v>42719</v>
      </c>
      <c r="K6" s="143"/>
      <c r="L6" s="143">
        <v>3418</v>
      </c>
      <c r="M6" s="144"/>
      <c r="N6" s="143">
        <f>ROUNDUP(SUM(M21*C11),0)</f>
        <v>2855</v>
      </c>
      <c r="O6" s="144"/>
      <c r="P6" s="129">
        <f>ROUNDUP((SUM(X5:X10)+SUM(AF5:AF10))*C11,0)</f>
        <v>9431</v>
      </c>
      <c r="Q6" s="129"/>
      <c r="R6" s="130"/>
      <c r="S6" s="34"/>
      <c r="T6" s="29" t="s">
        <v>27</v>
      </c>
      <c r="U6" s="73"/>
      <c r="V6" s="30"/>
      <c r="W6" s="31" t="s">
        <v>22</v>
      </c>
      <c r="X6" s="131"/>
      <c r="Y6" s="132"/>
      <c r="Z6" s="31" t="s">
        <v>23</v>
      </c>
      <c r="AA6" s="2"/>
      <c r="AB6" s="29" t="s">
        <v>28</v>
      </c>
      <c r="AC6" s="73"/>
      <c r="AD6" s="30"/>
      <c r="AE6" s="31" t="s">
        <v>22</v>
      </c>
      <c r="AF6" s="38"/>
      <c r="AG6" s="38"/>
      <c r="AH6" s="31" t="s">
        <v>23</v>
      </c>
      <c r="AI6" s="2"/>
      <c r="AJ6"/>
      <c r="AK6"/>
      <c r="AL6"/>
      <c r="AM6"/>
      <c r="AN6"/>
    </row>
    <row r="7" spans="1:45" customHeight="1" ht="37.5">
      <c r="A7" s="5"/>
      <c r="B7" s="181" t="s">
        <v>29</v>
      </c>
      <c r="C7" s="181"/>
      <c r="D7" s="182"/>
      <c r="E7" s="70" t="s">
        <v>30</v>
      </c>
      <c r="F7" s="190" t="s">
        <v>31</v>
      </c>
      <c r="G7" s="153"/>
      <c r="H7" s="2"/>
      <c r="I7" s="2"/>
      <c r="J7" s="183" t="s">
        <v>32</v>
      </c>
      <c r="K7" s="184"/>
      <c r="L7" s="185" t="s">
        <v>33</v>
      </c>
      <c r="M7" s="185"/>
      <c r="N7" s="186"/>
      <c r="O7" s="186"/>
      <c r="P7" s="178"/>
      <c r="Q7" s="179"/>
      <c r="R7" s="180"/>
      <c r="S7" s="33"/>
      <c r="T7" s="29" t="s">
        <v>34</v>
      </c>
      <c r="U7" s="73"/>
      <c r="V7" s="30"/>
      <c r="W7" s="31" t="s">
        <v>22</v>
      </c>
      <c r="X7" s="131"/>
      <c r="Y7" s="132"/>
      <c r="Z7" s="31" t="s">
        <v>23</v>
      </c>
      <c r="AA7" s="2"/>
      <c r="AB7" s="29" t="s">
        <v>35</v>
      </c>
      <c r="AC7" s="73"/>
      <c r="AD7" s="30"/>
      <c r="AE7" s="31" t="s">
        <v>22</v>
      </c>
      <c r="AF7" s="38"/>
      <c r="AG7" s="38"/>
      <c r="AH7" s="31" t="s">
        <v>23</v>
      </c>
      <c r="AI7" s="2"/>
      <c r="AJ7"/>
      <c r="AK7"/>
      <c r="AL7"/>
      <c r="AM7"/>
    </row>
    <row r="8" spans="1:45" customHeight="1" ht="37.5">
      <c r="A8" s="5"/>
      <c r="B8" s="173" t="s">
        <v>36</v>
      </c>
      <c r="C8" s="174"/>
      <c r="D8" s="174"/>
      <c r="E8" s="67"/>
      <c r="F8" s="152" t="s">
        <v>37</v>
      </c>
      <c r="G8" s="153"/>
      <c r="H8" s="2"/>
      <c r="I8" s="2"/>
      <c r="J8" s="122">
        <v>0</v>
      </c>
      <c r="K8" s="123"/>
      <c r="L8" s="124">
        <v>2827</v>
      </c>
      <c r="M8" s="124"/>
      <c r="N8" s="175"/>
      <c r="O8" s="175"/>
      <c r="P8" s="123"/>
      <c r="Q8" s="176"/>
      <c r="R8" s="177"/>
      <c r="S8" s="32"/>
      <c r="T8" s="29" t="s">
        <v>38</v>
      </c>
      <c r="U8" s="73"/>
      <c r="V8" s="30"/>
      <c r="W8" s="31" t="s">
        <v>22</v>
      </c>
      <c r="X8" s="131"/>
      <c r="Y8" s="132"/>
      <c r="Z8" s="31" t="s">
        <v>23</v>
      </c>
      <c r="AA8" s="2"/>
      <c r="AB8" s="29" t="s">
        <v>39</v>
      </c>
      <c r="AC8" s="73"/>
      <c r="AD8" s="30"/>
      <c r="AE8" s="31" t="s">
        <v>22</v>
      </c>
      <c r="AF8" s="38"/>
      <c r="AG8" s="38"/>
      <c r="AH8" s="31" t="s">
        <v>23</v>
      </c>
      <c r="AI8" s="2"/>
      <c r="AJ8"/>
    </row>
    <row r="9" spans="1:45" customHeight="1" ht="37.5">
      <c r="A9" s="5"/>
      <c r="B9" s="55"/>
      <c r="C9" s="56"/>
      <c r="D9" s="56"/>
      <c r="E9" s="57"/>
      <c r="F9" s="57"/>
      <c r="G9" s="2"/>
      <c r="H9" s="2"/>
      <c r="I9" s="2"/>
      <c r="J9" s="125" t="s">
        <v>40</v>
      </c>
      <c r="K9" s="126"/>
      <c r="L9" s="127">
        <v>22000</v>
      </c>
      <c r="M9" s="128"/>
      <c r="N9" s="120" t="s">
        <v>41</v>
      </c>
      <c r="O9" s="121"/>
      <c r="P9" s="47" t="s">
        <v>42</v>
      </c>
      <c r="Q9" s="48"/>
      <c r="R9" s="48" t="s">
        <v>22</v>
      </c>
      <c r="S9" s="46"/>
      <c r="T9" s="29" t="s">
        <v>43</v>
      </c>
      <c r="U9" s="73"/>
      <c r="V9" s="30"/>
      <c r="W9" s="31" t="s">
        <v>22</v>
      </c>
      <c r="X9" s="131"/>
      <c r="Y9" s="132"/>
      <c r="Z9" s="31" t="s">
        <v>23</v>
      </c>
      <c r="AA9" s="2"/>
      <c r="AB9" s="29" t="s">
        <v>44</v>
      </c>
      <c r="AC9" s="73"/>
      <c r="AD9" s="30"/>
      <c r="AE9" s="31" t="s">
        <v>22</v>
      </c>
      <c r="AF9" s="38"/>
      <c r="AG9" s="38"/>
      <c r="AH9" s="31" t="s">
        <v>23</v>
      </c>
      <c r="AI9" s="2"/>
      <c r="AJ9"/>
    </row>
    <row r="10" spans="1:45" customHeight="1" ht="37.5">
      <c r="A10" s="5"/>
      <c r="B10" s="62" t="s">
        <v>45</v>
      </c>
      <c r="C10" s="26"/>
      <c r="D10" s="26"/>
      <c r="E10" s="26"/>
      <c r="F10" s="63" t="str">
        <f>ROUND((J8+L8)*C12,0)+N8+P8</f>
        <v>0</v>
      </c>
      <c r="G10" s="50"/>
      <c r="H10" s="64"/>
      <c r="I10" s="79"/>
      <c r="J10" s="139" t="s">
        <v>46</v>
      </c>
      <c r="K10" s="139"/>
      <c r="L10" s="139"/>
      <c r="M10" s="139"/>
      <c r="N10" s="133" t="s">
        <v>47</v>
      </c>
      <c r="O10" s="133"/>
      <c r="P10" s="140">
        <f>IF(L11="銀行振込",J6+ROUND(L6*C12,0)+N6+P6+J8+L8,IF(L11="PayPal",ROUND((J6+ROUND(L6*C12,0)+N6+P6+J8+L8)*E12,0)))</f>
        <v>61250</v>
      </c>
      <c r="Q10" s="140"/>
      <c r="R10" s="140"/>
      <c r="S10" s="28"/>
      <c r="T10" s="29" t="s">
        <v>48</v>
      </c>
      <c r="U10" s="73"/>
      <c r="V10" s="30"/>
      <c r="W10" s="31" t="s">
        <v>22</v>
      </c>
      <c r="X10" s="131"/>
      <c r="Y10" s="132"/>
      <c r="Z10" s="31" t="s">
        <v>23</v>
      </c>
      <c r="AA10" s="2"/>
      <c r="AB10" s="29" t="s">
        <v>49</v>
      </c>
      <c r="AC10" s="73"/>
      <c r="AD10" s="30"/>
      <c r="AE10" s="31" t="s">
        <v>22</v>
      </c>
      <c r="AF10" s="38"/>
      <c r="AG10" s="38"/>
      <c r="AH10" s="31" t="s">
        <v>23</v>
      </c>
      <c r="AI10" s="2"/>
      <c r="AJ10"/>
      <c r="AK10"/>
    </row>
    <row r="11" spans="1:45" customHeight="1" ht="37.5">
      <c r="A11" s="5"/>
      <c r="B11" s="42" t="s">
        <v>50</v>
      </c>
      <c r="C11" s="52">
        <v>23.4</v>
      </c>
      <c r="D11" s="42" t="s">
        <v>51</v>
      </c>
      <c r="E11" s="53">
        <v>0.08</v>
      </c>
      <c r="F11" s="6"/>
      <c r="G11" s="134" t="s">
        <v>52</v>
      </c>
      <c r="H11" s="134"/>
      <c r="I11" s="134"/>
      <c r="J11" s="134"/>
      <c r="K11" s="134"/>
      <c r="L11" s="135" t="s">
        <v>53</v>
      </c>
      <c r="M11" s="136"/>
      <c r="N11" s="137" t="s">
        <v>54</v>
      </c>
      <c r="O11" s="137"/>
      <c r="P11" s="138" t="s">
        <v>55</v>
      </c>
      <c r="Q11" s="138"/>
      <c r="R11" s="28" t="s">
        <v>56</v>
      </c>
      <c r="S11" s="2"/>
      <c r="T11" s="141"/>
      <c r="U11" s="142"/>
      <c r="V11" s="106"/>
      <c r="W11" s="107"/>
      <c r="X11" s="107"/>
      <c r="Y11" s="72"/>
      <c r="Z11" s="3"/>
      <c r="AA11" s="2"/>
      <c r="AB11" s="58"/>
      <c r="AC11" s="48"/>
      <c r="AD11" s="77"/>
      <c r="AE11" s="3"/>
      <c r="AF11" s="59"/>
      <c r="AG11" s="59"/>
      <c r="AH11" s="3"/>
      <c r="AI11" s="2"/>
      <c r="AJ11"/>
      <c r="AK11"/>
    </row>
    <row r="12" spans="1:45" customHeight="1" ht="9.949999999999999">
      <c r="A12" s="5"/>
      <c r="B12" s="42"/>
      <c r="C12" s="60">
        <v>1</v>
      </c>
      <c r="D12" s="42"/>
      <c r="E12" s="61">
        <v>1</v>
      </c>
      <c r="F12" s="24"/>
      <c r="G12" s="45"/>
      <c r="H12" s="45"/>
      <c r="I12" s="45"/>
      <c r="J12" s="45"/>
      <c r="K12" s="45"/>
      <c r="L12" s="45"/>
      <c r="M12" s="45"/>
      <c r="N12" s="45"/>
      <c r="O12" s="45"/>
      <c r="P12" s="2"/>
      <c r="Q12" s="2"/>
      <c r="R12" s="2"/>
      <c r="S12" s="2"/>
      <c r="T12" s="25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/>
      <c r="AK12"/>
    </row>
    <row r="13" spans="1:45" customHeight="1" ht="35.25">
      <c r="A13" s="19" t="s">
        <v>57</v>
      </c>
      <c r="B13" s="156" t="s">
        <v>58</v>
      </c>
      <c r="C13" s="157"/>
      <c r="D13" s="157"/>
      <c r="E13" s="20" t="s">
        <v>59</v>
      </c>
      <c r="F13" s="21" t="s">
        <v>60</v>
      </c>
      <c r="G13" s="80" t="s">
        <v>61</v>
      </c>
      <c r="H13" s="80" t="s">
        <v>62</v>
      </c>
      <c r="I13" s="80" t="s">
        <v>63</v>
      </c>
      <c r="J13" s="20" t="s">
        <v>64</v>
      </c>
      <c r="K13" s="20" t="s">
        <v>65</v>
      </c>
      <c r="L13" s="20" t="s">
        <v>66</v>
      </c>
      <c r="M13" s="22" t="s">
        <v>67</v>
      </c>
      <c r="N13" s="23" t="s">
        <v>68</v>
      </c>
      <c r="O13" s="23" t="s">
        <v>69</v>
      </c>
      <c r="P13" s="22" t="s">
        <v>70</v>
      </c>
      <c r="Q13" s="97" t="s">
        <v>71</v>
      </c>
      <c r="R13" s="158"/>
      <c r="S13" s="158"/>
      <c r="T13" s="158"/>
      <c r="U13" s="159"/>
      <c r="V13" s="95" t="s">
        <v>72</v>
      </c>
      <c r="W13" s="96"/>
      <c r="X13" s="97"/>
      <c r="Y13" s="92" t="s">
        <v>73</v>
      </c>
      <c r="Z13" s="93"/>
      <c r="AA13" s="93"/>
      <c r="AB13" s="93"/>
      <c r="AC13" s="94"/>
      <c r="AD13" s="95" t="s">
        <v>74</v>
      </c>
      <c r="AE13" s="96"/>
      <c r="AF13" s="96"/>
      <c r="AG13" s="96"/>
      <c r="AH13" s="97"/>
      <c r="AI13" s="2"/>
      <c r="AJ13"/>
      <c r="AK13"/>
      <c r="AL13"/>
      <c r="AM13"/>
      <c r="AN13"/>
      <c r="AO13"/>
    </row>
    <row r="14" spans="1:45" customHeight="1" ht="99">
      <c r="A14" s="12">
        <v>1</v>
      </c>
      <c r="B14" s="160" t="s">
        <v>75</v>
      </c>
      <c r="C14" s="151"/>
      <c r="D14" s="151"/>
      <c r="E14" s="15"/>
      <c r="F14" s="40" t="s">
        <v>76</v>
      </c>
      <c r="G14" s="41">
        <v>10</v>
      </c>
      <c r="H14" s="74">
        <v>10</v>
      </c>
      <c r="I14" s="74">
        <v>10</v>
      </c>
      <c r="J14" s="41">
        <v>26</v>
      </c>
      <c r="K14" s="16">
        <v>608.4</v>
      </c>
      <c r="L14" s="16">
        <f>IF(I14&lt;&gt;"",ROUNDUP(SUM(K14*I14),0),IF(H14&lt;&gt;"",ROUNDUP(SUM(K14*H14),0),ROUNDUP(SUM(K14*G14),0)))</f>
        <v>6084</v>
      </c>
      <c r="M14" s="16">
        <v>30</v>
      </c>
      <c r="N14" s="17" t="s">
        <v>77</v>
      </c>
      <c r="O14" s="17" t="s">
        <v>78</v>
      </c>
      <c r="P14" s="18" t="s">
        <v>20</v>
      </c>
      <c r="Q14" s="105"/>
      <c r="R14" s="105"/>
      <c r="S14" s="105"/>
      <c r="T14" s="105"/>
      <c r="U14" s="105"/>
      <c r="V14" s="98" t="s">
        <v>79</v>
      </c>
      <c r="W14" s="99"/>
      <c r="X14" s="100"/>
      <c r="Y14" s="101" t="s">
        <v>80</v>
      </c>
      <c r="Z14" s="102"/>
      <c r="AA14" s="102"/>
      <c r="AB14" s="102"/>
      <c r="AC14" s="103"/>
      <c r="AD14" s="101" t="s">
        <v>81</v>
      </c>
      <c r="AE14" s="102"/>
      <c r="AF14" s="102"/>
      <c r="AG14" s="102"/>
      <c r="AH14" s="103"/>
      <c r="AI14" s="2"/>
      <c r="AJ14"/>
      <c r="AK14"/>
      <c r="AL14"/>
      <c r="AM14"/>
      <c r="AN14"/>
      <c r="AO14"/>
      <c r="AP14"/>
      <c r="AQ14"/>
      <c r="AR14"/>
      <c r="AS14"/>
    </row>
    <row r="15" spans="1:45" customHeight="1" ht="99">
      <c r="A15" s="12">
        <v>2</v>
      </c>
      <c r="B15" s="154" t="s">
        <v>82</v>
      </c>
      <c r="C15" s="155"/>
      <c r="D15" s="155"/>
      <c r="E15" s="8"/>
      <c r="F15" s="40" t="s">
        <v>83</v>
      </c>
      <c r="G15" s="39">
        <v>15</v>
      </c>
      <c r="H15" s="75">
        <v>15</v>
      </c>
      <c r="I15" s="75">
        <v>15</v>
      </c>
      <c r="J15" s="39">
        <v>21</v>
      </c>
      <c r="K15" s="16">
        <v>491.4</v>
      </c>
      <c r="L15" s="16">
        <f>IF(I15&lt;&gt;"",ROUNDUP(SUM(K15*I15),0),IF(H15&lt;&gt;"",ROUNDUP(SUM(K15*H15),0),ROUNDUP(SUM(K15*G15),0)))</f>
        <v>7371</v>
      </c>
      <c r="M15" s="11">
        <v>38</v>
      </c>
      <c r="N15" s="13" t="s">
        <v>77</v>
      </c>
      <c r="O15" s="13" t="s">
        <v>84</v>
      </c>
      <c r="P15" s="14" t="s">
        <v>20</v>
      </c>
      <c r="Q15" s="105"/>
      <c r="R15" s="105"/>
      <c r="S15" s="105"/>
      <c r="T15" s="105" t="s">
        <v>85</v>
      </c>
      <c r="U15" s="105"/>
      <c r="V15" s="98" t="s">
        <v>79</v>
      </c>
      <c r="W15" s="99"/>
      <c r="X15" s="100"/>
      <c r="Y15" s="101" t="s">
        <v>80</v>
      </c>
      <c r="Z15" s="102"/>
      <c r="AA15" s="102"/>
      <c r="AB15" s="102"/>
      <c r="AC15" s="103"/>
      <c r="AD15" s="101" t="s">
        <v>86</v>
      </c>
      <c r="AE15" s="102"/>
      <c r="AF15" s="102"/>
      <c r="AG15" s="102"/>
      <c r="AH15" s="103"/>
      <c r="AI15" s="2"/>
      <c r="AJ15"/>
      <c r="AK15"/>
      <c r="AL15"/>
      <c r="AM15"/>
      <c r="AN15"/>
      <c r="AO15"/>
      <c r="AP15"/>
      <c r="AQ15"/>
      <c r="AR15"/>
      <c r="AS15"/>
    </row>
    <row r="16" spans="1:45" customHeight="1" ht="99">
      <c r="A16" s="12">
        <v>3</v>
      </c>
      <c r="B16" s="150" t="s">
        <v>87</v>
      </c>
      <c r="C16" s="151"/>
      <c r="D16" s="151"/>
      <c r="E16" s="8"/>
      <c r="F16" s="40" t="s">
        <v>88</v>
      </c>
      <c r="G16" s="39">
        <v>12</v>
      </c>
      <c r="H16" s="75">
        <v>12</v>
      </c>
      <c r="I16" s="75">
        <v>12</v>
      </c>
      <c r="J16" s="39">
        <v>24</v>
      </c>
      <c r="K16" s="16">
        <v>561.6</v>
      </c>
      <c r="L16" s="16">
        <f>IF(I16&lt;&gt;"",ROUNDUP(SUM(K16*I16),0),IF(H16&lt;&gt;"",ROUNDUP(SUM(K16*H16),0),ROUNDUP(SUM(K16*G16),0)))</f>
        <v>6740</v>
      </c>
      <c r="M16" s="11">
        <v>14</v>
      </c>
      <c r="N16" s="13" t="s">
        <v>77</v>
      </c>
      <c r="O16" s="13" t="s">
        <v>84</v>
      </c>
      <c r="P16" s="14" t="s">
        <v>20</v>
      </c>
      <c r="Q16" s="105"/>
      <c r="R16" s="105"/>
      <c r="S16" s="105"/>
      <c r="T16" s="105"/>
      <c r="U16" s="105"/>
      <c r="V16" s="98" t="s">
        <v>79</v>
      </c>
      <c r="W16" s="99"/>
      <c r="X16" s="100"/>
      <c r="Y16" s="101" t="s">
        <v>80</v>
      </c>
      <c r="Z16" s="102"/>
      <c r="AA16" s="102"/>
      <c r="AB16" s="102"/>
      <c r="AC16" s="103"/>
      <c r="AD16" s="101" t="s">
        <v>86</v>
      </c>
      <c r="AE16" s="102"/>
      <c r="AF16" s="102"/>
      <c r="AG16" s="102"/>
      <c r="AH16" s="103"/>
      <c r="AI16" s="2"/>
      <c r="AJ16"/>
      <c r="AK16"/>
      <c r="AL16"/>
      <c r="AM16"/>
      <c r="AN16"/>
      <c r="AO16"/>
      <c r="AP16"/>
      <c r="AQ16"/>
      <c r="AR16"/>
      <c r="AS16"/>
    </row>
    <row r="17" spans="1:45" customHeight="1" ht="99">
      <c r="A17" s="12">
        <v>4</v>
      </c>
      <c r="B17" s="150" t="s">
        <v>89</v>
      </c>
      <c r="C17" s="151"/>
      <c r="D17" s="151"/>
      <c r="E17" s="8"/>
      <c r="F17" s="40" t="s">
        <v>90</v>
      </c>
      <c r="G17" s="39">
        <v>16</v>
      </c>
      <c r="H17" s="75">
        <v>16</v>
      </c>
      <c r="I17" s="75">
        <v>16</v>
      </c>
      <c r="J17" s="39">
        <v>28</v>
      </c>
      <c r="K17" s="16">
        <v>655.2</v>
      </c>
      <c r="L17" s="16">
        <f>IF(I17&lt;&gt;"",ROUNDUP(SUM(K17*I17),0),IF(H17&lt;&gt;"",ROUNDUP(SUM(K17*H17),0),ROUNDUP(SUM(K17*G17),0)))</f>
        <v>10484</v>
      </c>
      <c r="M17" s="11">
        <v>26</v>
      </c>
      <c r="N17" s="13" t="s">
        <v>77</v>
      </c>
      <c r="O17" s="13" t="s">
        <v>84</v>
      </c>
      <c r="P17" s="14" t="s">
        <v>20</v>
      </c>
      <c r="Q17" s="105"/>
      <c r="R17" s="105"/>
      <c r="S17" s="105"/>
      <c r="T17" s="105" t="s">
        <v>91</v>
      </c>
      <c r="U17" s="105"/>
      <c r="V17" s="98" t="s">
        <v>79</v>
      </c>
      <c r="W17" s="99"/>
      <c r="X17" s="100"/>
      <c r="Y17" s="101" t="s">
        <v>80</v>
      </c>
      <c r="Z17" s="102"/>
      <c r="AA17" s="102"/>
      <c r="AB17" s="102"/>
      <c r="AC17" s="103"/>
      <c r="AD17" s="101" t="s">
        <v>92</v>
      </c>
      <c r="AE17" s="102"/>
      <c r="AF17" s="102"/>
      <c r="AG17" s="102"/>
      <c r="AH17" s="103"/>
      <c r="AI17" s="2"/>
      <c r="AJ17"/>
      <c r="AK17"/>
      <c r="AL17"/>
      <c r="AM17"/>
      <c r="AN17"/>
      <c r="AO17"/>
      <c r="AP17"/>
      <c r="AQ17"/>
      <c r="AR17"/>
      <c r="AS17"/>
    </row>
    <row r="18" spans="1:45" customHeight="1" ht="99">
      <c r="A18" s="12">
        <v>5</v>
      </c>
      <c r="B18" s="150" t="s">
        <v>93</v>
      </c>
      <c r="C18" s="151"/>
      <c r="D18" s="151"/>
      <c r="E18" s="8"/>
      <c r="F18" s="40" t="s">
        <v>94</v>
      </c>
      <c r="G18" s="39">
        <v>16</v>
      </c>
      <c r="H18" s="75">
        <v>16</v>
      </c>
      <c r="I18" s="75">
        <v>16</v>
      </c>
      <c r="J18" s="39">
        <v>13.5</v>
      </c>
      <c r="K18" s="16">
        <v>315.9</v>
      </c>
      <c r="L18" s="16">
        <f>IF(I18&lt;&gt;"",ROUNDUP(SUM(K18*I18),0),IF(H18&lt;&gt;"",ROUNDUP(SUM(K18*H18),0),ROUNDUP(SUM(K18*G18),0)))</f>
        <v>5055</v>
      </c>
      <c r="M18" s="11">
        <v>14</v>
      </c>
      <c r="N18" s="13" t="s">
        <v>77</v>
      </c>
      <c r="O18" s="13" t="s">
        <v>84</v>
      </c>
      <c r="P18" s="14" t="s">
        <v>20</v>
      </c>
      <c r="Q18" s="105"/>
      <c r="R18" s="105"/>
      <c r="S18" s="105"/>
      <c r="T18" s="105"/>
      <c r="U18" s="105"/>
      <c r="V18" s="98" t="s">
        <v>79</v>
      </c>
      <c r="W18" s="99"/>
      <c r="X18" s="100"/>
      <c r="Y18" s="101" t="s">
        <v>80</v>
      </c>
      <c r="Z18" s="102"/>
      <c r="AA18" s="102"/>
      <c r="AB18" s="102"/>
      <c r="AC18" s="103"/>
      <c r="AD18" s="101" t="s">
        <v>92</v>
      </c>
      <c r="AE18" s="102"/>
      <c r="AF18" s="102"/>
      <c r="AG18" s="102"/>
      <c r="AH18" s="103"/>
      <c r="AI18" s="2"/>
      <c r="AJ18"/>
      <c r="AK18"/>
      <c r="AL18"/>
      <c r="AM18"/>
      <c r="AN18"/>
      <c r="AO18"/>
      <c r="AP18"/>
      <c r="AQ18"/>
      <c r="AR18"/>
      <c r="AS18"/>
    </row>
    <row r="19" spans="1:45" customHeight="1" ht="99">
      <c r="A19" s="12">
        <v>6</v>
      </c>
      <c r="B19" s="150" t="s">
        <v>95</v>
      </c>
      <c r="C19" s="151"/>
      <c r="D19" s="151"/>
      <c r="E19" s="8"/>
      <c r="F19" s="40" t="s">
        <v>96</v>
      </c>
      <c r="G19" s="39">
        <v>15</v>
      </c>
      <c r="H19" s="75">
        <v>15</v>
      </c>
      <c r="I19" s="75">
        <v>15</v>
      </c>
      <c r="J19" s="39">
        <v>19.9</v>
      </c>
      <c r="K19" s="16">
        <v>465.66</v>
      </c>
      <c r="L19" s="16">
        <f>IF(I19&lt;&gt;"",ROUNDUP(SUM(K19*I19),0),IF(H19&lt;&gt;"",ROUNDUP(SUM(K19*H19),0),ROUNDUP(SUM(K19*G19),0)))</f>
        <v>6985</v>
      </c>
      <c r="M19" s="11">
        <v>0</v>
      </c>
      <c r="N19" s="13" t="s">
        <v>77</v>
      </c>
      <c r="O19" s="13" t="s">
        <v>84</v>
      </c>
      <c r="P19" s="14" t="s">
        <v>20</v>
      </c>
      <c r="Q19" s="105"/>
      <c r="R19" s="105"/>
      <c r="S19" s="105"/>
      <c r="T19" s="105"/>
      <c r="U19" s="105"/>
      <c r="V19" s="98" t="s">
        <v>79</v>
      </c>
      <c r="W19" s="99"/>
      <c r="X19" s="100"/>
      <c r="Y19" s="101" t="s">
        <v>80</v>
      </c>
      <c r="Z19" s="102"/>
      <c r="AA19" s="102"/>
      <c r="AB19" s="102"/>
      <c r="AC19" s="103"/>
      <c r="AD19" s="101" t="s">
        <v>92</v>
      </c>
      <c r="AE19" s="102"/>
      <c r="AF19" s="102"/>
      <c r="AG19" s="102"/>
      <c r="AH19" s="103"/>
      <c r="AI19" s="2"/>
      <c r="AJ19"/>
      <c r="AK19"/>
      <c r="AL19"/>
      <c r="AM19"/>
      <c r="AN19"/>
      <c r="AO19"/>
      <c r="AP19"/>
      <c r="AQ19"/>
      <c r="AR19"/>
      <c r="AS19"/>
    </row>
    <row r="20" spans="1:45" customHeight="1" ht="99">
      <c r="A20" s="12"/>
      <c r="B20" s="104"/>
      <c r="C20" s="104"/>
      <c r="D20" s="104"/>
      <c r="E20" s="8"/>
      <c r="F20" s="40"/>
      <c r="G20" s="39"/>
      <c r="H20" s="75"/>
      <c r="I20" s="75"/>
      <c r="J20" s="39"/>
      <c r="K20" s="16">
        <f>ROUNDDOWN(SUM(J20*$C$11),3)</f>
        <v>0</v>
      </c>
      <c r="L20" s="16">
        <f>IF(I20&lt;&gt;"",ROUNDUP(SUM(K20*I20),0),IF(H20&lt;&gt;"",ROUNDUP(SUM(K20*H20),0),ROUNDUP(SUM(K20*G20),0)))</f>
        <v>0</v>
      </c>
      <c r="M20" s="11"/>
      <c r="N20" s="13"/>
      <c r="O20" s="13"/>
      <c r="P20" s="14" t="s">
        <v>97</v>
      </c>
      <c r="Q20" s="105"/>
      <c r="R20" s="105"/>
      <c r="S20" s="105"/>
      <c r="T20" s="105"/>
      <c r="U20" s="105"/>
      <c r="V20" s="98"/>
      <c r="W20" s="99"/>
      <c r="X20" s="100"/>
      <c r="Y20" s="101"/>
      <c r="Z20" s="102"/>
      <c r="AA20" s="102"/>
      <c r="AB20" s="102"/>
      <c r="AC20" s="103"/>
      <c r="AD20" s="101"/>
      <c r="AE20" s="102"/>
      <c r="AF20" s="102"/>
      <c r="AG20" s="102"/>
      <c r="AH20" s="103"/>
      <c r="AI20" s="2"/>
      <c r="AJ20"/>
      <c r="AK20"/>
      <c r="AL20"/>
      <c r="AM20"/>
      <c r="AN20"/>
      <c r="AO20"/>
      <c r="AP20"/>
      <c r="AQ20"/>
      <c r="AR20"/>
      <c r="AS20"/>
    </row>
    <row r="21" spans="1:45" customHeight="1" ht="29.25">
      <c r="A21" s="7"/>
      <c r="B21" s="145" t="s">
        <v>98</v>
      </c>
      <c r="C21" s="146"/>
      <c r="D21" s="146"/>
      <c r="E21" s="8"/>
      <c r="F21" s="9"/>
      <c r="G21" s="10">
        <f>SUM(G14:G20)</f>
        <v>84</v>
      </c>
      <c r="H21" s="76">
        <f>SUM(H14:H20)</f>
        <v>84</v>
      </c>
      <c r="I21" s="76">
        <f>SUM(I14:I20)</f>
        <v>84</v>
      </c>
      <c r="J21" s="10"/>
      <c r="K21" s="11"/>
      <c r="L21" s="11">
        <f>SUM(L14:L20)</f>
        <v>42719</v>
      </c>
      <c r="M21" s="11">
        <f>SUM(M14:M20)</f>
        <v>122</v>
      </c>
      <c r="N21" s="147" t="s">
        <v>99</v>
      </c>
      <c r="O21" s="148"/>
      <c r="P21" s="147"/>
      <c r="Q21" s="149">
        <f>IF(AND(P10&gt;0,G21&gt;0),((P10-J6)/G21),0)</f>
        <v>220.6071428571429</v>
      </c>
      <c r="R21" s="149"/>
      <c r="S21" s="149"/>
      <c r="T21" s="149"/>
      <c r="U21" s="149"/>
      <c r="V21" s="86"/>
      <c r="W21" s="87"/>
      <c r="X21" s="88"/>
      <c r="Y21" s="89"/>
      <c r="Z21" s="90"/>
      <c r="AA21" s="90"/>
      <c r="AB21" s="90"/>
      <c r="AC21" s="91"/>
      <c r="AD21" s="89"/>
      <c r="AE21" s="90"/>
      <c r="AF21" s="90"/>
      <c r="AG21" s="90"/>
      <c r="AH21" s="91"/>
      <c r="AI21" s="2"/>
      <c r="AJ21"/>
      <c r="AK21"/>
      <c r="AL21"/>
      <c r="AM21"/>
      <c r="AN21"/>
      <c r="AO21"/>
      <c r="AP21"/>
      <c r="AQ21"/>
      <c r="AR21"/>
      <c r="AS21"/>
    </row>
    <row r="22" spans="1:45" customHeight="1" ht="21.75">
      <c r="A22" s="5"/>
      <c r="B22" s="2" t="s">
        <v>100</v>
      </c>
      <c r="C22" s="2"/>
      <c r="D22" s="2"/>
      <c r="E22" s="2"/>
      <c r="F22" s="2"/>
      <c r="G22" s="2"/>
      <c r="H22" s="2"/>
      <c r="I22" s="2"/>
      <c r="J22" s="2"/>
      <c r="K22" s="6"/>
      <c r="L22" s="6" t="s">
        <v>101</v>
      </c>
      <c r="M22" s="2"/>
      <c r="N22" s="4"/>
      <c r="O22" s="4"/>
      <c r="P22" s="3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/>
      <c r="AK22"/>
      <c r="AL22"/>
      <c r="AM22"/>
      <c r="AN22"/>
      <c r="AO22"/>
      <c r="AP22"/>
      <c r="AQ22"/>
      <c r="AR22"/>
      <c r="AS22"/>
    </row>
    <row r="23" spans="1:4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</row>
    <row r="24" spans="1:4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</row>
    <row r="25" spans="1:4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</row>
    <row r="26" spans="1:4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 spans="1:4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 spans="1:4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 spans="1:4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 spans="1:4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 spans="1:4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</row>
    <row r="32" spans="1:4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</row>
    <row r="33" spans="1:4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</row>
    <row r="34" spans="1:4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V20:X20"/>
    <mergeCell ref="Y20:AC20"/>
    <mergeCell ref="AD20:AH20"/>
    <mergeCell ref="P1:R1"/>
    <mergeCell ref="B5:D5"/>
    <mergeCell ref="J5:K5"/>
    <mergeCell ref="L5:M5"/>
    <mergeCell ref="N5:O5"/>
    <mergeCell ref="P5:R5"/>
    <mergeCell ref="P2:R2"/>
    <mergeCell ref="B8:D8"/>
    <mergeCell ref="N8:O8"/>
    <mergeCell ref="P8:R8"/>
    <mergeCell ref="P7:R7"/>
    <mergeCell ref="B7:D7"/>
    <mergeCell ref="J7:K7"/>
    <mergeCell ref="L7:M7"/>
    <mergeCell ref="N7:O7"/>
    <mergeCell ref="B6:D6"/>
    <mergeCell ref="J6:K6"/>
    <mergeCell ref="N6:O6"/>
    <mergeCell ref="F5:G5"/>
    <mergeCell ref="F6:G6"/>
    <mergeCell ref="F7:G7"/>
    <mergeCell ref="F8:G8"/>
    <mergeCell ref="B15:D15"/>
    <mergeCell ref="Q15:S15"/>
    <mergeCell ref="T15:U15"/>
    <mergeCell ref="B20:D20"/>
    <mergeCell ref="Q20:S20"/>
    <mergeCell ref="T20:U20"/>
    <mergeCell ref="B16:D16"/>
    <mergeCell ref="Q16:S16"/>
    <mergeCell ref="T16:U16"/>
    <mergeCell ref="B13:D13"/>
    <mergeCell ref="Q13:U13"/>
    <mergeCell ref="B14:D14"/>
    <mergeCell ref="Q14:S14"/>
    <mergeCell ref="T14:U14"/>
    <mergeCell ref="B19:D19"/>
    <mergeCell ref="Q19:S19"/>
    <mergeCell ref="T19:U19"/>
    <mergeCell ref="B17:D17"/>
    <mergeCell ref="Q17:S17"/>
    <mergeCell ref="T17:U17"/>
    <mergeCell ref="B18:D18"/>
    <mergeCell ref="Q18:S18"/>
    <mergeCell ref="T18:U18"/>
    <mergeCell ref="V16:X16"/>
    <mergeCell ref="Y16:AC16"/>
    <mergeCell ref="AD16:AH16"/>
    <mergeCell ref="V17:X17"/>
    <mergeCell ref="Y17:AC17"/>
    <mergeCell ref="AD17:AH17"/>
    <mergeCell ref="B21:D21"/>
    <mergeCell ref="N21:P21"/>
    <mergeCell ref="Q21:U21"/>
    <mergeCell ref="V18:X18"/>
    <mergeCell ref="Y18:AC18"/>
    <mergeCell ref="AD18:AH18"/>
    <mergeCell ref="V19:X19"/>
    <mergeCell ref="Y19:AC19"/>
    <mergeCell ref="AD19:AH19"/>
    <mergeCell ref="V11:X11"/>
    <mergeCell ref="T2:Z3"/>
    <mergeCell ref="AB2:AH3"/>
    <mergeCell ref="N9:O9"/>
    <mergeCell ref="J8:K8"/>
    <mergeCell ref="L8:M8"/>
    <mergeCell ref="J9:K9"/>
    <mergeCell ref="L9:M9"/>
    <mergeCell ref="P6:R6"/>
    <mergeCell ref="X5:Y5"/>
    <mergeCell ref="X6:Y6"/>
    <mergeCell ref="X7:Y7"/>
    <mergeCell ref="X8:Y8"/>
    <mergeCell ref="X9:Y9"/>
    <mergeCell ref="X10:Y10"/>
    <mergeCell ref="N10:O10"/>
    <mergeCell ref="G11:K11"/>
    <mergeCell ref="L11:M11"/>
    <mergeCell ref="N11:O11"/>
    <mergeCell ref="P11:Q11"/>
    <mergeCell ref="J10:M10"/>
    <mergeCell ref="P10:R10"/>
    <mergeCell ref="T11:U11"/>
    <mergeCell ref="L6:M6"/>
    <mergeCell ref="E2:F2"/>
    <mergeCell ref="G2:I2"/>
    <mergeCell ref="V21:X21"/>
    <mergeCell ref="Y21:AC21"/>
    <mergeCell ref="AD21:AH21"/>
    <mergeCell ref="Y13:AC13"/>
    <mergeCell ref="AD13:AH13"/>
    <mergeCell ref="V13:X13"/>
    <mergeCell ref="V14:X14"/>
    <mergeCell ref="Y14:AC14"/>
    <mergeCell ref="AD14:AH14"/>
    <mergeCell ref="Y15:AC15"/>
    <mergeCell ref="AD15:AH15"/>
    <mergeCell ref="V15:X15"/>
  </mergeCells>
  <dataValidations count="669">
    <dataValidation allowBlank="1" showDropDown="0" showInputMessage="1" showErrorMessage="1" sqref="A2"/>
    <dataValidation allowBlank="1" showDropDown="0" showInputMessage="1" showErrorMessage="1" sqref="G3"/>
    <dataValidation allowBlank="1" showDropDown="0" showInputMessage="1" showErrorMessage="1" sqref="G4"/>
    <dataValidation allowBlank="1" showDropDown="0" showInputMessage="1" showErrorMessage="1" sqref="V12"/>
    <dataValidation allowBlank="1" showDropDown="0" showInputMessage="1" showErrorMessage="1" sqref="W12"/>
    <dataValidation allowBlank="1" showDropDown="0" showInputMessage="1" showErrorMessage="1" sqref="X12"/>
    <dataValidation allowBlank="1" showDropDown="0" showInputMessage="1" showErrorMessage="1" sqref="Y12"/>
    <dataValidation allowBlank="1" showDropDown="0" showInputMessage="1" showErrorMessage="1" sqref="Z12"/>
    <dataValidation allowBlank="1" showDropDown="0" showInputMessage="1" showErrorMessage="1" sqref="W8"/>
    <dataValidation allowBlank="1" showDropDown="0" showInputMessage="1" showErrorMessage="1" sqref="W9"/>
    <dataValidation allowBlank="1" showDropDown="0" showInputMessage="1" showErrorMessage="1" sqref="W10"/>
    <dataValidation allowBlank="1" showDropDown="0" showInputMessage="1" showErrorMessage="1" sqref="X8"/>
    <dataValidation allowBlank="1" showDropDown="0" showInputMessage="1" showErrorMessage="1" sqref="X9"/>
    <dataValidation allowBlank="1" showDropDown="0" showInputMessage="1" showErrorMessage="1" sqref="X10"/>
    <dataValidation allowBlank="1" showDropDown="0" showInputMessage="1" showErrorMessage="1" sqref="J8"/>
    <dataValidation allowBlank="1" showDropDown="0" showInputMessage="1" showErrorMessage="1" sqref="J9"/>
    <dataValidation allowBlank="1" showDropDown="0" showInputMessage="1" showErrorMessage="1" sqref="K8"/>
    <dataValidation allowBlank="1" showDropDown="0" showInputMessage="1" showErrorMessage="1" sqref="K9"/>
    <dataValidation allowBlank="1" showDropDown="0" showInputMessage="1" showErrorMessage="1" sqref="L8"/>
    <dataValidation allowBlank="1" showDropDown="0" showInputMessage="1" showErrorMessage="1" sqref="L9"/>
    <dataValidation allowBlank="1" showDropDown="0" showInputMessage="1" showErrorMessage="1" sqref="M8"/>
    <dataValidation allowBlank="1" showDropDown="0" showInputMessage="1" showErrorMessage="1" sqref="M9"/>
    <dataValidation allowBlank="1" showDropDown="0" showInputMessage="1" showErrorMessage="1" sqref="C2"/>
    <dataValidation allowBlank="1" showDropDown="0" showInputMessage="1" showErrorMessage="1" sqref="D2"/>
    <dataValidation allowBlank="1" showDropDown="0" showInputMessage="1" showErrorMessage="1" sqref="E2"/>
    <dataValidation allowBlank="1" showDropDown="0" showInputMessage="1" showErrorMessage="1" sqref="L2"/>
    <dataValidation allowBlank="1" showDropDown="0" showInputMessage="1" showErrorMessage="1" sqref="M2"/>
    <dataValidation allowBlank="1" showDropDown="0" showInputMessage="1" showErrorMessage="1" sqref="N2"/>
    <dataValidation allowBlank="1" showDropDown="0" showInputMessage="1" showErrorMessage="1" sqref="O2"/>
    <dataValidation allowBlank="1" showDropDown="0" showInputMessage="1" showErrorMessage="1" sqref="P2"/>
    <dataValidation allowBlank="1" showDropDown="0" showInputMessage="1" showErrorMessage="1" sqref="G12"/>
    <dataValidation allowBlank="1" showDropDown="0" showInputMessage="1" showErrorMessage="1" sqref="H12"/>
    <dataValidation allowBlank="1" showDropDown="0" showInputMessage="1" showErrorMessage="1" sqref="I12"/>
    <dataValidation allowBlank="1" showDropDown="0" showInputMessage="1" showErrorMessage="1" sqref="J12"/>
    <dataValidation allowBlank="1" showDropDown="0" showInputMessage="1" showErrorMessage="1" sqref="K12"/>
    <dataValidation allowBlank="1" showDropDown="0" showInputMessage="1" showErrorMessage="1" sqref="L12"/>
    <dataValidation allowBlank="1" showDropDown="0" showInputMessage="1" showErrorMessage="1" sqref="M12"/>
    <dataValidation allowBlank="1" showDropDown="0" showInputMessage="1" showErrorMessage="1" sqref="N12"/>
    <dataValidation allowBlank="1" showDropDown="0" showInputMessage="1" showErrorMessage="1" sqref="O12"/>
    <dataValidation allowBlank="1" showDropDown="0" showInputMessage="1" showErrorMessage="1" sqref="P12"/>
    <dataValidation allowBlank="1" showDropDown="0" showInputMessage="1" showErrorMessage="1" sqref="Q12"/>
    <dataValidation allowBlank="1" showDropDown="0" showInputMessage="1" showErrorMessage="1" sqref="R12"/>
    <dataValidation allowBlank="1" showDropDown="0" showInputMessage="1" showErrorMessage="1" sqref="Z7"/>
    <dataValidation allowBlank="1" showDropDown="0" showInputMessage="1" showErrorMessage="1" sqref="AA7"/>
    <dataValidation allowBlank="1" showDropDown="0" showInputMessage="1" showErrorMessage="1" sqref="G9"/>
    <dataValidation allowBlank="1" showDropDown="0" showInputMessage="1" showErrorMessage="1" sqref="G10"/>
    <dataValidation allowBlank="1" showDropDown="0" showInputMessage="1" showErrorMessage="1" sqref="N11"/>
    <dataValidation allowBlank="1" showDropDown="0" showInputMessage="1" showErrorMessage="1" sqref="O11"/>
    <dataValidation allowBlank="1" showDropDown="0" showInputMessage="1" showErrorMessage="1" sqref="P11"/>
    <dataValidation allowBlank="1" showDropDown="0" showInputMessage="1" showErrorMessage="1" sqref="Q11"/>
    <dataValidation allowBlank="1" showDropDown="0" showInputMessage="1" showErrorMessage="1" sqref="R11"/>
    <dataValidation allowBlank="1" showDropDown="0" showInputMessage="1" showErrorMessage="1" sqref="G11"/>
    <dataValidation allowBlank="1" showDropDown="0" showInputMessage="1" showErrorMessage="1" sqref="H11"/>
    <dataValidation allowBlank="1" showDropDown="0" showInputMessage="1" showErrorMessage="1" sqref="I11"/>
    <dataValidation allowBlank="1" showDropDown="0" showInputMessage="1" showErrorMessage="1" sqref="J11"/>
    <dataValidation allowBlank="1" showDropDown="0" showInputMessage="1" showErrorMessage="1" sqref="K11"/>
    <dataValidation allowBlank="1" showDropDown="0" showInputMessage="1" showErrorMessage="1" sqref="S11"/>
    <dataValidation allowBlank="1" showDropDown="0" showInputMessage="1" showErrorMessage="1" sqref="S12"/>
    <dataValidation allowBlank="1" showDropDown="0" showInputMessage="1" showErrorMessage="1" sqref="Y4"/>
    <dataValidation allowBlank="1" showDropDown="0" showInputMessage="1" showErrorMessage="1" sqref="H7"/>
    <dataValidation allowBlank="1" showDropDown="0" showInputMessage="1" showErrorMessage="1" sqref="I7"/>
    <dataValidation allowBlank="1" showDropDown="0" showInputMessage="1" showErrorMessage="1" sqref="J7"/>
    <dataValidation allowBlank="1" showDropDown="0" showInputMessage="1" showErrorMessage="1" sqref="K7"/>
    <dataValidation allowBlank="1" showDropDown="0" showInputMessage="1" showErrorMessage="1" sqref="L7"/>
    <dataValidation allowBlank="1" showDropDown="0" showInputMessage="1" showErrorMessage="1" sqref="M7"/>
    <dataValidation allowBlank="1" showDropDown="0" showInputMessage="1" showErrorMessage="1" sqref="P7"/>
    <dataValidation allowBlank="1" showDropDown="0" showInputMessage="1" showErrorMessage="1" sqref="P8"/>
    <dataValidation allowBlank="1" showDropDown="0" showInputMessage="1" showErrorMessage="1" sqref="P9"/>
    <dataValidation allowBlank="1" showDropDown="0" showInputMessage="1" showErrorMessage="1" sqref="Q9"/>
    <dataValidation allowBlank="1" showDropDown="0" showInputMessage="1" showErrorMessage="1" sqref="R9"/>
    <dataValidation allowBlank="1" showDropDown="0" showInputMessage="1" showErrorMessage="1" sqref="S8"/>
    <dataValidation allowBlank="1" showDropDown="0" showInputMessage="1" showErrorMessage="1" sqref="S9"/>
    <dataValidation allowBlank="1" showDropDown="0" showInputMessage="1" showErrorMessage="1" sqref="J10"/>
    <dataValidation allowBlank="1" showDropDown="0" showInputMessage="1" showErrorMessage="1" sqref="K10"/>
    <dataValidation allowBlank="1" showDropDown="0" showInputMessage="1" showErrorMessage="1" sqref="L10"/>
    <dataValidation allowBlank="1" showDropDown="0" showInputMessage="1" showErrorMessage="1" sqref="M10"/>
    <dataValidation allowBlank="1" showDropDown="0" showInputMessage="1" showErrorMessage="1" sqref="N10"/>
    <dataValidation allowBlank="1" showDropDown="0" showInputMessage="1" showErrorMessage="1" sqref="O10"/>
    <dataValidation allowBlank="1" showDropDown="0" showInputMessage="1" showErrorMessage="1" sqref="P10"/>
    <dataValidation allowBlank="1" showDropDown="0" showInputMessage="1" showErrorMessage="1" sqref="Q10"/>
    <dataValidation allowBlank="1" showDropDown="0" showInputMessage="1" showErrorMessage="1" sqref="R10"/>
    <dataValidation allowBlank="1" showDropDown="0" showInputMessage="1" showErrorMessage="1" sqref="S10"/>
    <dataValidation allowBlank="1" showDropDown="0" showInputMessage="1" showErrorMessage="1" sqref="AA8"/>
    <dataValidation allowBlank="1" showDropDown="0" showInputMessage="1" showErrorMessage="1" sqref="AA9"/>
    <dataValidation allowBlank="1" showDropDown="0" showInputMessage="1" showErrorMessage="1" sqref="AA10"/>
    <dataValidation allowBlank="1" showDropDown="0" showInputMessage="1" showErrorMessage="1" sqref="AA11"/>
    <dataValidation allowBlank="1" showDropDown="0" showInputMessage="1" showErrorMessage="1" sqref="AA12"/>
    <dataValidation allowBlank="1" showDropDown="0" showInputMessage="1" showErrorMessage="1" sqref="T8"/>
    <dataValidation allowBlank="1" showDropDown="0" showInputMessage="1" showErrorMessage="1" sqref="T9"/>
    <dataValidation allowBlank="1" showDropDown="0" showInputMessage="1" showErrorMessage="1" sqref="T10"/>
    <dataValidation allowBlank="1" showDropDown="0" showInputMessage="1" showErrorMessage="1" sqref="T11"/>
    <dataValidation allowBlank="1" showDropDown="0" showInputMessage="1" showErrorMessage="1" sqref="T12"/>
    <dataValidation allowBlank="1" showDropDown="0" showInputMessage="1" showErrorMessage="1" sqref="U8"/>
    <dataValidation allowBlank="1" showDropDown="0" showInputMessage="1" showErrorMessage="1" sqref="U9"/>
    <dataValidation allowBlank="1" showDropDown="0" showInputMessage="1" showErrorMessage="1" sqref="U10"/>
    <dataValidation allowBlank="1" showDropDown="0" showInputMessage="1" showErrorMessage="1" sqref="V8"/>
    <dataValidation allowBlank="1" showDropDown="0" showInputMessage="1" showErrorMessage="1" sqref="V9"/>
    <dataValidation allowBlank="1" showDropDown="0" showInputMessage="1" showErrorMessage="1" sqref="V10"/>
    <dataValidation allowBlank="1" showDropDown="0" showInputMessage="1" showErrorMessage="1" sqref="V11"/>
    <dataValidation allowBlank="1" showDropDown="0" showInputMessage="1" showErrorMessage="1" sqref="Z8"/>
    <dataValidation allowBlank="1" showDropDown="0" showInputMessage="1" showErrorMessage="1" sqref="Z9"/>
    <dataValidation allowBlank="1" showDropDown="0" showInputMessage="1" showErrorMessage="1" sqref="Z10"/>
    <dataValidation allowBlank="1" showDropDown="0" showInputMessage="1" showErrorMessage="1" sqref="Z11"/>
    <dataValidation allowBlank="1" showDropDown="0" showInputMessage="1" showErrorMessage="1" sqref="S2"/>
    <dataValidation allowBlank="1" showDropDown="0" showInputMessage="1" showErrorMessage="1" sqref="T2"/>
    <dataValidation allowBlank="1" showDropDown="0" showInputMessage="1" showErrorMessage="1" sqref="AB4"/>
    <dataValidation allowBlank="1" showDropDown="0" showInputMessage="1" showErrorMessage="1" sqref="AB5"/>
    <dataValidation allowBlank="1" showDropDown="0" showInputMessage="1" showErrorMessage="1" sqref="AB6"/>
    <dataValidation allowBlank="1" showDropDown="0" showInputMessage="1" showErrorMessage="1" sqref="AB7"/>
    <dataValidation allowBlank="1" showDropDown="0" showInputMessage="1" showErrorMessage="1" sqref="AB8"/>
    <dataValidation allowBlank="1" showDropDown="0" showInputMessage="1" showErrorMessage="1" sqref="AB9"/>
    <dataValidation allowBlank="1" showDropDown="0" showInputMessage="1" showErrorMessage="1" sqref="AB10"/>
    <dataValidation allowBlank="1" showDropDown="0" showInputMessage="1" showErrorMessage="1" sqref="AB11"/>
    <dataValidation allowBlank="1" showDropDown="0" showInputMessage="1" showErrorMessage="1" sqref="AB12"/>
    <dataValidation allowBlank="1" showDropDown="0" showInputMessage="1" showErrorMessage="1" sqref="AC4"/>
    <dataValidation allowBlank="1" showDropDown="0" showInputMessage="1" showErrorMessage="1" sqref="AC5"/>
    <dataValidation allowBlank="1" showDropDown="0" showInputMessage="1" showErrorMessage="1" sqref="AC6"/>
    <dataValidation allowBlank="1" showDropDown="0" showInputMessage="1" showErrorMessage="1" sqref="AC7"/>
    <dataValidation allowBlank="1" showDropDown="0" showInputMessage="1" showErrorMessage="1" sqref="AC8"/>
    <dataValidation allowBlank="1" showDropDown="0" showInputMessage="1" showErrorMessage="1" sqref="AC9"/>
    <dataValidation allowBlank="1" showDropDown="0" showInputMessage="1" showErrorMessage="1" sqref="AC10"/>
    <dataValidation allowBlank="1" showDropDown="0" showInputMessage="1" showErrorMessage="1" sqref="AC11"/>
    <dataValidation allowBlank="1" showDropDown="0" showInputMessage="1" showErrorMessage="1" sqref="AC12"/>
    <dataValidation allowBlank="1" showDropDown="0" showInputMessage="1" showErrorMessage="1" sqref="AD4"/>
    <dataValidation allowBlank="1" showDropDown="0" showInputMessage="1" showErrorMessage="1" sqref="AD5"/>
    <dataValidation allowBlank="1" showDropDown="0" showInputMessage="1" showErrorMessage="1" sqref="AD6"/>
    <dataValidation allowBlank="1" showDropDown="0" showInputMessage="1" showErrorMessage="1" sqref="AD7"/>
    <dataValidation allowBlank="1" showDropDown="0" showInputMessage="1" showErrorMessage="1" sqref="AD8"/>
    <dataValidation allowBlank="1" showDropDown="0" showInputMessage="1" showErrorMessage="1" sqref="AD9"/>
    <dataValidation allowBlank="1" showDropDown="0" showInputMessage="1" showErrorMessage="1" sqref="AD10"/>
    <dataValidation allowBlank="1" showDropDown="0" showInputMessage="1" showErrorMessage="1" sqref="AD11"/>
    <dataValidation allowBlank="1" showDropDown="0" showInputMessage="1" showErrorMessage="1" sqref="AD12"/>
    <dataValidation allowBlank="1" showDropDown="0" showInputMessage="1" showErrorMessage="1" sqref="AE4"/>
    <dataValidation allowBlank="1" showDropDown="0" showInputMessage="1" showErrorMessage="1" sqref="AE5"/>
    <dataValidation allowBlank="1" showDropDown="0" showInputMessage="1" showErrorMessage="1" sqref="AE6"/>
    <dataValidation allowBlank="1" showDropDown="0" showInputMessage="1" showErrorMessage="1" sqref="AE7"/>
    <dataValidation allowBlank="1" showDropDown="0" showInputMessage="1" showErrorMessage="1" sqref="AE8"/>
    <dataValidation allowBlank="1" showDropDown="0" showInputMessage="1" showErrorMessage="1" sqref="AE9"/>
    <dataValidation allowBlank="1" showDropDown="0" showInputMessage="1" showErrorMessage="1" sqref="AE10"/>
    <dataValidation allowBlank="1" showDropDown="0" showInputMessage="1" showErrorMessage="1" sqref="AE11"/>
    <dataValidation allowBlank="1" showDropDown="0" showInputMessage="1" showErrorMessage="1" sqref="AE12"/>
    <dataValidation allowBlank="1" showDropDown="0" showInputMessage="1" showErrorMessage="1" sqref="AF4"/>
    <dataValidation allowBlank="1" showDropDown="0" showInputMessage="1" showErrorMessage="1" sqref="AF5"/>
    <dataValidation allowBlank="1" showDropDown="0" showInputMessage="1" showErrorMessage="1" sqref="AF6"/>
    <dataValidation allowBlank="1" showDropDown="0" showInputMessage="1" showErrorMessage="1" sqref="AF7"/>
    <dataValidation allowBlank="1" showDropDown="0" showInputMessage="1" showErrorMessage="1" sqref="AF8"/>
    <dataValidation allowBlank="1" showDropDown="0" showInputMessage="1" showErrorMessage="1" sqref="AF9"/>
    <dataValidation allowBlank="1" showDropDown="0" showInputMessage="1" showErrorMessage="1" sqref="AF10"/>
    <dataValidation allowBlank="1" showDropDown="0" showInputMessage="1" showErrorMessage="1" sqref="AF11"/>
    <dataValidation allowBlank="1" showDropDown="0" showInputMessage="1" showErrorMessage="1" sqref="AF12"/>
    <dataValidation allowBlank="1" showDropDown="0" showInputMessage="1" showErrorMessage="1" sqref="AG4"/>
    <dataValidation allowBlank="1" showDropDown="0" showInputMessage="1" showErrorMessage="1" sqref="AG5"/>
    <dataValidation allowBlank="1" showDropDown="0" showInputMessage="1" showErrorMessage="1" sqref="AG6"/>
    <dataValidation allowBlank="1" showDropDown="0" showInputMessage="1" showErrorMessage="1" sqref="AG7"/>
    <dataValidation allowBlank="1" showDropDown="0" showInputMessage="1" showErrorMessage="1" sqref="AG8"/>
    <dataValidation allowBlank="1" showDropDown="0" showInputMessage="1" showErrorMessage="1" sqref="AG9"/>
    <dataValidation allowBlank="1" showDropDown="0" showInputMessage="1" showErrorMessage="1" sqref="AG10"/>
    <dataValidation allowBlank="1" showDropDown="0" showInputMessage="1" showErrorMessage="1" sqref="AG11"/>
    <dataValidation allowBlank="1" showDropDown="0" showInputMessage="1" showErrorMessage="1" sqref="AG12"/>
    <dataValidation allowBlank="1" showDropDown="0" showInputMessage="1" showErrorMessage="1" sqref="AH4"/>
    <dataValidation allowBlank="1" showDropDown="0" showInputMessage="1" showErrorMessage="1" sqref="AH5"/>
    <dataValidation allowBlank="1" showDropDown="0" showInputMessage="1" showErrorMessage="1" sqref="AH6"/>
    <dataValidation allowBlank="1" showDropDown="0" showInputMessage="1" showErrorMessage="1" sqref="AH7"/>
    <dataValidation allowBlank="1" showDropDown="0" showInputMessage="1" showErrorMessage="1" sqref="AH8"/>
    <dataValidation allowBlank="1" showDropDown="0" showInputMessage="1" showErrorMessage="1" sqref="AH9"/>
    <dataValidation allowBlank="1" showDropDown="0" showInputMessage="1" showErrorMessage="1" sqref="AH10"/>
    <dataValidation allowBlank="1" showDropDown="0" showInputMessage="1" showErrorMessage="1" sqref="AH11"/>
    <dataValidation allowBlank="1" showDropDown="0" showInputMessage="1" showErrorMessage="1" sqref="AH12"/>
    <dataValidation allowBlank="1" showDropDown="0" showInputMessage="1" showErrorMessage="1" sqref="AA3"/>
    <dataValidation allowBlank="1" showDropDown="0" showInputMessage="1" showErrorMessage="1" sqref="AA4"/>
    <dataValidation allowBlank="1" showDropDown="0" showInputMessage="1" showErrorMessage="1" sqref="AA5"/>
    <dataValidation allowBlank="1" showDropDown="0" showInputMessage="1" showErrorMessage="1" sqref="AA6"/>
    <dataValidation allowBlank="1" showDropDown="0" showInputMessage="1" showErrorMessage="1" sqref="AA2"/>
    <dataValidation allowBlank="1" showDropDown="0" showInputMessage="1" showErrorMessage="1" sqref="AB2"/>
    <dataValidation allowBlank="1" showDropDown="0" showInputMessage="1" showErrorMessage="1" sqref="H3"/>
    <dataValidation allowBlank="1" showDropDown="0" showInputMessage="1" showErrorMessage="1" sqref="H4"/>
    <dataValidation allowBlank="1" showDropDown="0" showInputMessage="1" showErrorMessage="1" sqref="H5"/>
    <dataValidation allowBlank="1" showDropDown="0" showInputMessage="1" showErrorMessage="1" sqref="H6"/>
    <dataValidation allowBlank="1" showDropDown="0" showInputMessage="1" showErrorMessage="1" sqref="I3"/>
    <dataValidation allowBlank="1" showDropDown="0" showInputMessage="1" showErrorMessage="1" sqref="I4"/>
    <dataValidation allowBlank="1" showDropDown="0" showInputMessage="1" showErrorMessage="1" sqref="I5"/>
    <dataValidation allowBlank="1" showDropDown="0" showInputMessage="1" showErrorMessage="1" sqref="I6"/>
    <dataValidation allowBlank="1" showDropDown="0" showInputMessage="1" showErrorMessage="1" sqref="J3"/>
    <dataValidation allowBlank="1" showDropDown="0" showInputMessage="1" showErrorMessage="1" sqref="J4"/>
    <dataValidation allowBlank="1" showDropDown="0" showInputMessage="1" showErrorMessage="1" sqref="J5"/>
    <dataValidation allowBlank="1" showDropDown="0" showInputMessage="1" showErrorMessage="1" sqref="J6"/>
    <dataValidation allowBlank="1" showDropDown="0" showInputMessage="1" showErrorMessage="1" sqref="K3"/>
    <dataValidation allowBlank="1" showDropDown="0" showInputMessage="1" showErrorMessage="1" sqref="K4"/>
    <dataValidation allowBlank="1" showDropDown="0" showInputMessage="1" showErrorMessage="1" sqref="K5"/>
    <dataValidation allowBlank="1" showDropDown="0" showInputMessage="1" showErrorMessage="1" sqref="K6"/>
    <dataValidation allowBlank="1" showDropDown="0" showInputMessage="1" showErrorMessage="1" sqref="L3"/>
    <dataValidation allowBlank="1" showDropDown="0" showInputMessage="1" showErrorMessage="1" sqref="L4"/>
    <dataValidation allowBlank="1" showDropDown="0" showInputMessage="1" showErrorMessage="1" sqref="L5"/>
    <dataValidation allowBlank="1" showDropDown="0" showInputMessage="1" showErrorMessage="1" sqref="L6"/>
    <dataValidation allowBlank="1" showDropDown="0" showInputMessage="1" showErrorMessage="1" sqref="M3"/>
    <dataValidation allowBlank="1" showDropDown="0" showInputMessage="1" showErrorMessage="1" sqref="M4"/>
    <dataValidation allowBlank="1" showDropDown="0" showInputMessage="1" showErrorMessage="1" sqref="M5"/>
    <dataValidation allowBlank="1" showDropDown="0" showInputMessage="1" showErrorMessage="1" sqref="M6"/>
    <dataValidation allowBlank="1" showDropDown="0" showInputMessage="1" showErrorMessage="1" sqref="N3"/>
    <dataValidation allowBlank="1" showDropDown="0" showInputMessage="1" showErrorMessage="1" sqref="N4"/>
    <dataValidation allowBlank="1" showDropDown="0" showInputMessage="1" showErrorMessage="1" sqref="N5"/>
    <dataValidation allowBlank="1" showDropDown="0" showInputMessage="1" showErrorMessage="1" sqref="N6"/>
    <dataValidation allowBlank="1" showDropDown="0" showInputMessage="1" showErrorMessage="1" sqref="O3"/>
    <dataValidation allowBlank="1" showDropDown="0" showInputMessage="1" showErrorMessage="1" sqref="O4"/>
    <dataValidation allowBlank="1" showDropDown="0" showInputMessage="1" showErrorMessage="1" sqref="O5"/>
    <dataValidation allowBlank="1" showDropDown="0" showInputMessage="1" showErrorMessage="1" sqref="O6"/>
    <dataValidation allowBlank="1" showDropDown="0" showInputMessage="1" showErrorMessage="1" sqref="P3"/>
    <dataValidation allowBlank="1" showDropDown="0" showInputMessage="1" showErrorMessage="1" sqref="P4"/>
    <dataValidation allowBlank="1" showDropDown="0" showInputMessage="1" showErrorMessage="1" sqref="P5"/>
    <dataValidation allowBlank="1" showDropDown="0" showInputMessage="1" showErrorMessage="1" sqref="P6"/>
    <dataValidation allowBlank="1" showDropDown="0" showInputMessage="1" showErrorMessage="1" sqref="Q3"/>
    <dataValidation allowBlank="1" showDropDown="0" showInputMessage="1" showErrorMessage="1" sqref="Q4"/>
    <dataValidation allowBlank="1" showDropDown="0" showInputMessage="1" showErrorMessage="1" sqref="Q5"/>
    <dataValidation allowBlank="1" showDropDown="0" showInputMessage="1" showErrorMessage="1" sqref="Q6"/>
    <dataValidation allowBlank="1" showDropDown="0" showInputMessage="1" showErrorMessage="1" sqref="R3"/>
    <dataValidation allowBlank="1" showDropDown="0" showInputMessage="1" showErrorMessage="1" sqref="R4"/>
    <dataValidation allowBlank="1" showDropDown="0" showInputMessage="1" showErrorMessage="1" sqref="R5"/>
    <dataValidation allowBlank="1" showDropDown="0" showInputMessage="1" showErrorMessage="1" sqref="R6"/>
    <dataValidation allowBlank="1" showDropDown="0" showInputMessage="1" showErrorMessage="1" sqref="S3"/>
    <dataValidation allowBlank="1" showDropDown="0" showInputMessage="1" showErrorMessage="1" sqref="S4"/>
    <dataValidation allowBlank="1" showDropDown="0" showInputMessage="1" showErrorMessage="1" sqref="S5"/>
    <dataValidation allowBlank="1" showDropDown="0" showInputMessage="1" showErrorMessage="1" sqref="S6"/>
    <dataValidation allowBlank="1" showDropDown="0" showInputMessage="1" showErrorMessage="1" sqref="A3"/>
    <dataValidation allowBlank="1" showDropDown="0" showInputMessage="1" showErrorMessage="1" sqref="A4"/>
    <dataValidation allowBlank="1" showDropDown="0" showInputMessage="1" showErrorMessage="1" sqref="A5"/>
    <dataValidation allowBlank="1" showDropDown="0" showInputMessage="1" showErrorMessage="1" sqref="A6"/>
    <dataValidation allowBlank="1" showDropDown="0" showInputMessage="1" showErrorMessage="1" sqref="A7"/>
    <dataValidation allowBlank="1" showDropDown="0" showInputMessage="1" showErrorMessage="1" sqref="A8"/>
    <dataValidation allowBlank="1" showDropDown="0" showInputMessage="1" showErrorMessage="1" sqref="A9"/>
    <dataValidation allowBlank="1" showDropDown="0" showInputMessage="1" showErrorMessage="1" sqref="A10"/>
    <dataValidation allowBlank="1" showDropDown="0" showInputMessage="1" showErrorMessage="1" sqref="A11"/>
    <dataValidation allowBlank="1" showDropDown="0" showInputMessage="1" showErrorMessage="1" sqref="A12"/>
    <dataValidation allowBlank="1" showDropDown="0" showInputMessage="1" showErrorMessage="1" sqref="B3"/>
    <dataValidation allowBlank="1" showDropDown="0" showInputMessage="1" showErrorMessage="1" sqref="B4"/>
    <dataValidation allowBlank="1" showDropDown="0" showInputMessage="1" showErrorMessage="1" sqref="B5"/>
    <dataValidation allowBlank="1" showDropDown="0" showInputMessage="1" showErrorMessage="1" sqref="B6"/>
    <dataValidation allowBlank="1" showDropDown="0" showInputMessage="1" showErrorMessage="1" sqref="B7"/>
    <dataValidation allowBlank="1" showDropDown="0" showInputMessage="1" showErrorMessage="1" sqref="B8"/>
    <dataValidation allowBlank="1" showDropDown="0" showInputMessage="1" showErrorMessage="1" sqref="B9"/>
    <dataValidation allowBlank="1" showDropDown="0" showInputMessage="1" showErrorMessage="1" sqref="B10"/>
    <dataValidation allowBlank="1" showDropDown="0" showInputMessage="1" showErrorMessage="1" sqref="B11"/>
    <dataValidation allowBlank="1" showDropDown="0" showInputMessage="1" showErrorMessage="1" sqref="B12"/>
    <dataValidation allowBlank="1" showDropDown="0" showInputMessage="1" showErrorMessage="1" sqref="C3"/>
    <dataValidation allowBlank="1" showDropDown="0" showInputMessage="1" showErrorMessage="1" sqref="C4"/>
    <dataValidation allowBlank="1" showDropDown="0" showInputMessage="1" showErrorMessage="1" sqref="C5"/>
    <dataValidation allowBlank="1" showDropDown="0" showInputMessage="1" showErrorMessage="1" sqref="C6"/>
    <dataValidation allowBlank="1" showDropDown="0" showInputMessage="1" showErrorMessage="1" sqref="C7"/>
    <dataValidation allowBlank="1" showDropDown="0" showInputMessage="1" showErrorMessage="1" sqref="C8"/>
    <dataValidation allowBlank="1" showDropDown="0" showInputMessage="1" showErrorMessage="1" sqref="C9"/>
    <dataValidation allowBlank="1" showDropDown="0" showInputMessage="1" showErrorMessage="1" sqref="C10"/>
    <dataValidation allowBlank="1" showDropDown="0" showInputMessage="1" showErrorMessage="1" sqref="C11"/>
    <dataValidation allowBlank="1" showDropDown="0" showInputMessage="1" showErrorMessage="1" sqref="C12"/>
    <dataValidation allowBlank="1" showDropDown="0" showInputMessage="1" showErrorMessage="1" sqref="D3"/>
    <dataValidation allowBlank="1" showDropDown="0" showInputMessage="1" showErrorMessage="1" sqref="D4"/>
    <dataValidation allowBlank="1" showDropDown="0" showInputMessage="1" showErrorMessage="1" sqref="D5"/>
    <dataValidation allowBlank="1" showDropDown="0" showInputMessage="1" showErrorMessage="1" sqref="D6"/>
    <dataValidation allowBlank="1" showDropDown="0" showInputMessage="1" showErrorMessage="1" sqref="D7"/>
    <dataValidation allowBlank="1" showDropDown="0" showInputMessage="1" showErrorMessage="1" sqref="D8"/>
    <dataValidation allowBlank="1" showDropDown="0" showInputMessage="1" showErrorMessage="1" sqref="D9"/>
    <dataValidation allowBlank="1" showDropDown="0" showInputMessage="1" showErrorMessage="1" sqref="D10"/>
    <dataValidation allowBlank="1" showDropDown="0" showInputMessage="1" showErrorMessage="1" sqref="D11"/>
    <dataValidation allowBlank="1" showDropDown="0" showInputMessage="1" showErrorMessage="1" sqref="D12"/>
    <dataValidation allowBlank="1" showDropDown="0" showInputMessage="1" showErrorMessage="1" sqref="E3"/>
    <dataValidation allowBlank="1" showDropDown="0" showInputMessage="1" showErrorMessage="1" sqref="E4"/>
    <dataValidation allowBlank="1" showDropDown="0" showInputMessage="1" showErrorMessage="1" sqref="E5"/>
    <dataValidation allowBlank="1" showDropDown="0" showInputMessage="1" showErrorMessage="1" sqref="E6"/>
    <dataValidation allowBlank="1" showDropDown="0" showInputMessage="1" showErrorMessage="1" sqref="E7"/>
    <dataValidation allowBlank="1" showDropDown="0" showInputMessage="1" showErrorMessage="1" sqref="E8"/>
    <dataValidation allowBlank="1" showDropDown="0" showInputMessage="1" showErrorMessage="1" sqref="E9"/>
    <dataValidation allowBlank="1" showDropDown="0" showInputMessage="1" showErrorMessage="1" sqref="E10"/>
    <dataValidation allowBlank="1" showDropDown="0" showInputMessage="1" showErrorMessage="1" sqref="E11"/>
    <dataValidation allowBlank="1" showDropDown="0" showInputMessage="1" showErrorMessage="1" sqref="E12"/>
    <dataValidation allowBlank="1" showDropDown="0" showInputMessage="1" showErrorMessage="1" sqref="F3"/>
    <dataValidation allowBlank="1" showDropDown="0" showInputMessage="1" showErrorMessage="1" sqref="F4"/>
    <dataValidation allowBlank="1" showDropDown="0" showInputMessage="1" showErrorMessage="1" sqref="F5"/>
    <dataValidation allowBlank="1" showDropDown="0" showInputMessage="1" showErrorMessage="1" sqref="F6"/>
    <dataValidation allowBlank="1" showDropDown="0" showInputMessage="1" showErrorMessage="1" sqref="F7"/>
    <dataValidation allowBlank="1" showDropDown="0" showInputMessage="1" showErrorMessage="1" sqref="F8"/>
    <dataValidation allowBlank="1" showDropDown="0" showInputMessage="1" showErrorMessage="1" sqref="F9"/>
    <dataValidation allowBlank="1" showDropDown="0" showInputMessage="1" showErrorMessage="1" sqref="F10"/>
    <dataValidation allowBlank="1" showDropDown="0" showInputMessage="1" showErrorMessage="1" sqref="F11"/>
    <dataValidation allowBlank="1" showDropDown="0" showInputMessage="1" showErrorMessage="1" sqref="F12"/>
    <dataValidation allowBlank="1" showDropDown="0" showInputMessage="1" showErrorMessage="1" sqref="H8"/>
    <dataValidation allowBlank="1" showDropDown="0" showInputMessage="1" showErrorMessage="1" sqref="H9"/>
    <dataValidation allowBlank="1" showDropDown="0" showInputMessage="1" showErrorMessage="1" sqref="H10"/>
    <dataValidation allowBlank="1" showDropDown="0" showInputMessage="1" showErrorMessage="1" sqref="I8"/>
    <dataValidation allowBlank="1" showDropDown="0" showInputMessage="1" showErrorMessage="1" sqref="I9"/>
    <dataValidation allowBlank="1" showDropDown="0" showInputMessage="1" showErrorMessage="1" sqref="I10"/>
    <dataValidation allowBlank="1" showDropDown="0" showInputMessage="1" showErrorMessage="1" sqref="T4"/>
    <dataValidation allowBlank="1" showDropDown="0" showInputMessage="1" showErrorMessage="1" sqref="T5"/>
    <dataValidation allowBlank="1" showDropDown="0" showInputMessage="1" showErrorMessage="1" sqref="T6"/>
    <dataValidation allowBlank="1" showDropDown="0" showInputMessage="1" showErrorMessage="1" sqref="U4"/>
    <dataValidation allowBlank="1" showDropDown="0" showInputMessage="1" showErrorMessage="1" sqref="U5"/>
    <dataValidation allowBlank="1" showDropDown="0" showInputMessage="1" showErrorMessage="1" sqref="U6"/>
    <dataValidation allowBlank="1" showDropDown="0" showInputMessage="1" showErrorMessage="1" sqref="V4"/>
    <dataValidation allowBlank="1" showDropDown="0" showInputMessage="1" showErrorMessage="1" sqref="V5"/>
    <dataValidation allowBlank="1" showDropDown="0" showInputMessage="1" showErrorMessage="1" sqref="V6"/>
    <dataValidation allowBlank="1" showDropDown="0" showInputMessage="1" showErrorMessage="1" sqref="W4"/>
    <dataValidation allowBlank="1" showDropDown="0" showInputMessage="1" showErrorMessage="1" sqref="W5"/>
    <dataValidation allowBlank="1" showDropDown="0" showInputMessage="1" showErrorMessage="1" sqref="W6"/>
    <dataValidation allowBlank="1" showDropDown="0" showInputMessage="1" showErrorMessage="1" sqref="X4"/>
    <dataValidation allowBlank="1" showDropDown="0" showInputMessage="1" showErrorMessage="1" sqref="X5"/>
    <dataValidation allowBlank="1" showDropDown="0" showInputMessage="1" showErrorMessage="1" sqref="X6"/>
    <dataValidation allowBlank="1" showDropDown="0" showInputMessage="1" showErrorMessage="1" sqref="Z4"/>
    <dataValidation allowBlank="1" showDropDown="0" showInputMessage="1" showErrorMessage="1" sqref="Z5"/>
    <dataValidation allowBlank="1" showDropDown="0" showInputMessage="1" showErrorMessage="1" sqref="Z6"/>
    <dataValidation allowBlank="1" showDropDown="0" showInputMessage="1" showErrorMessage="1" sqref="S7"/>
    <dataValidation allowBlank="1" showDropDown="0" showInputMessage="1" showErrorMessage="1" sqref="T7"/>
    <dataValidation allowBlank="1" showDropDown="0" showInputMessage="1" showErrorMessage="1" sqref="U7"/>
    <dataValidation allowBlank="1" showDropDown="0" showInputMessage="1" showErrorMessage="1" sqref="V7"/>
    <dataValidation allowBlank="1" showDropDown="0" showInputMessage="1" showErrorMessage="1" sqref="W7"/>
    <dataValidation allowBlank="1" showDropDown="0" showInputMessage="1" showErrorMessage="1" sqref="X7"/>
    <dataValidation allowBlank="1" showDropDown="0" showInputMessage="1" showErrorMessage="1" sqref="AI8"/>
    <dataValidation allowBlank="1" showDropDown="0" showInputMessage="1" showErrorMessage="1" sqref="AI9"/>
    <dataValidation allowBlank="1" showDropDown="0" showInputMessage="1" showErrorMessage="1" sqref="AJ8"/>
    <dataValidation allowBlank="1" showDropDown="0" showInputMessage="1" showErrorMessage="1" sqref="AJ9"/>
    <dataValidation allowBlank="1" showDropDown="0" showInputMessage="1" showErrorMessage="1" sqref="AI10"/>
    <dataValidation allowBlank="1" showDropDown="0" showInputMessage="1" showErrorMessage="1" sqref="AI11"/>
    <dataValidation allowBlank="1" showDropDown="0" showInputMessage="1" showErrorMessage="1" sqref="AI12"/>
    <dataValidation allowBlank="1" showDropDown="0" showInputMessage="1" showErrorMessage="1" sqref="AJ10"/>
    <dataValidation allowBlank="1" showDropDown="0" showInputMessage="1" showErrorMessage="1" sqref="AJ11"/>
    <dataValidation allowBlank="1" showDropDown="0" showInputMessage="1" showErrorMessage="1" sqref="AJ12"/>
    <dataValidation allowBlank="1" showDropDown="0" showInputMessage="1" showErrorMessage="1" sqref="AK10"/>
    <dataValidation allowBlank="1" showDropDown="0" showInputMessage="1" showErrorMessage="1" sqref="AK11"/>
    <dataValidation allowBlank="1" showDropDown="0" showInputMessage="1" showErrorMessage="1" sqref="AK12"/>
    <dataValidation allowBlank="1" showDropDown="0" showInputMessage="1" showErrorMessage="1" sqref="A1"/>
    <dataValidation allowBlank="1" showDropDown="0" showInputMessage="1" showErrorMessage="1" sqref="B1"/>
    <dataValidation allowBlank="1" showDropDown="0" showInputMessage="1" showErrorMessage="1" sqref="C1"/>
    <dataValidation allowBlank="1" showDropDown="0" showInputMessage="1" showErrorMessage="1" sqref="D1"/>
    <dataValidation allowBlank="1" showDropDown="0" showInputMessage="1" showErrorMessage="1" sqref="E1"/>
    <dataValidation allowBlank="1" showDropDown="0" showInputMessage="1" showErrorMessage="1" sqref="F1"/>
    <dataValidation allowBlank="1" showDropDown="0" showInputMessage="1" showErrorMessage="1" sqref="G1"/>
    <dataValidation allowBlank="1" showDropDown="0" showInputMessage="1" showErrorMessage="1" sqref="H1"/>
    <dataValidation allowBlank="1" showDropDown="0" showInputMessage="1" showErrorMessage="1" sqref="I1"/>
    <dataValidation allowBlank="1" showDropDown="0" showInputMessage="1" showErrorMessage="1" sqref="J1"/>
    <dataValidation allowBlank="1" showDropDown="0" showInputMessage="1" showErrorMessage="1" sqref="K1"/>
    <dataValidation allowBlank="1" showDropDown="0" showInputMessage="1" showErrorMessage="1" sqref="L1"/>
    <dataValidation allowBlank="1" showDropDown="0" showInputMessage="1" showErrorMessage="1" sqref="M1"/>
    <dataValidation allowBlank="1" showDropDown="0" showInputMessage="1" showErrorMessage="1" sqref="N1"/>
    <dataValidation allowBlank="1" showDropDown="0" showInputMessage="1" showErrorMessage="1" sqref="O1"/>
    <dataValidation allowBlank="1" showDropDown="0" showInputMessage="1" showErrorMessage="1" sqref="P1"/>
    <dataValidation allowBlank="1" showDropDown="0" showInputMessage="1" showErrorMessage="1" sqref="Q1"/>
    <dataValidation allowBlank="1" showDropDown="0" showInputMessage="1" showErrorMessage="1" sqref="R1"/>
    <dataValidation allowBlank="1" showDropDown="0" showInputMessage="1" showErrorMessage="1" sqref="S1"/>
    <dataValidation allowBlank="1" showDropDown="0" showInputMessage="1" showErrorMessage="1" sqref="T1"/>
    <dataValidation allowBlank="1" showDropDown="0" showInputMessage="1" showErrorMessage="1" sqref="U1"/>
    <dataValidation allowBlank="1" showDropDown="0" showInputMessage="1" showErrorMessage="1" sqref="V1"/>
    <dataValidation allowBlank="1" showDropDown="0" showInputMessage="1" showErrorMessage="1" sqref="W1"/>
    <dataValidation allowBlank="1" showDropDown="0" showInputMessage="1" showErrorMessage="1" sqref="X1"/>
    <dataValidation allowBlank="1" showDropDown="0" showInputMessage="1" showErrorMessage="1" sqref="Y1"/>
    <dataValidation allowBlank="1" showDropDown="0" showInputMessage="1" showErrorMessage="1" sqref="Z1"/>
    <dataValidation allowBlank="1" showDropDown="0" showInputMessage="1" showErrorMessage="1" sqref="AA1"/>
    <dataValidation allowBlank="1" showDropDown="0" showInputMessage="1" showErrorMessage="1" sqref="AB1"/>
    <dataValidation allowBlank="1" showDropDown="0" showInputMessage="1" showErrorMessage="1" sqref="AC1"/>
    <dataValidation allowBlank="1" showDropDown="0" showInputMessage="1" showErrorMessage="1" sqref="AD1"/>
    <dataValidation allowBlank="1" showDropDown="0" showInputMessage="1" showErrorMessage="1" sqref="AE1"/>
    <dataValidation allowBlank="1" showDropDown="0" showInputMessage="1" showErrorMessage="1" sqref="AF1"/>
    <dataValidation allowBlank="1" showDropDown="0" showInputMessage="1" showErrorMessage="1" sqref="AG1"/>
    <dataValidation allowBlank="1" showDropDown="0" showInputMessage="1" showErrorMessage="1" sqref="AH1"/>
    <dataValidation allowBlank="1" showDropDown="0" showInputMessage="1" showErrorMessage="1" sqref="AI1"/>
    <dataValidation allowBlank="1" showDropDown="0" showInputMessage="1" showErrorMessage="1" sqref="AJ1"/>
    <dataValidation allowBlank="1" showDropDown="0" showInputMessage="1" showErrorMessage="1" sqref="AK1"/>
    <dataValidation allowBlank="1" showDropDown="0" showInputMessage="1" showErrorMessage="1" sqref="AL1"/>
    <dataValidation allowBlank="1" showDropDown="0" showInputMessage="1" showErrorMessage="1" sqref="AI7"/>
    <dataValidation allowBlank="1" showDropDown="0" showInputMessage="1" showErrorMessage="1" sqref="AJ7"/>
    <dataValidation allowBlank="1" showDropDown="0" showInputMessage="1" showErrorMessage="1" sqref="AK7"/>
    <dataValidation allowBlank="1" showDropDown="0" showInputMessage="1" showErrorMessage="1" sqref="AL7"/>
    <dataValidation allowBlank="1" showDropDown="0" showInputMessage="1" showErrorMessage="1" sqref="AM7"/>
    <dataValidation allowBlank="1" showDropDown="0" showInputMessage="1" showErrorMessage="1" sqref="AI3"/>
    <dataValidation allowBlank="1" showDropDown="0" showInputMessage="1" showErrorMessage="1" sqref="AI4"/>
    <dataValidation allowBlank="1" showDropDown="0" showInputMessage="1" showErrorMessage="1" sqref="AI5"/>
    <dataValidation allowBlank="1" showDropDown="0" showInputMessage="1" showErrorMessage="1" sqref="AI6"/>
    <dataValidation allowBlank="1" showDropDown="0" showInputMessage="1" showErrorMessage="1" sqref="AJ3"/>
    <dataValidation allowBlank="1" showDropDown="0" showInputMessage="1" showErrorMessage="1" sqref="AJ4"/>
    <dataValidation allowBlank="1" showDropDown="0" showInputMessage="1" showErrorMessage="1" sqref="AJ5"/>
    <dataValidation allowBlank="1" showDropDown="0" showInputMessage="1" showErrorMessage="1" sqref="AJ6"/>
    <dataValidation allowBlank="1" showDropDown="0" showInputMessage="1" showErrorMessage="1" sqref="AK3"/>
    <dataValidation allowBlank="1" showDropDown="0" showInputMessage="1" showErrorMessage="1" sqref="AK4"/>
    <dataValidation allowBlank="1" showDropDown="0" showInputMessage="1" showErrorMessage="1" sqref="AK5"/>
    <dataValidation allowBlank="1" showDropDown="0" showInputMessage="1" showErrorMessage="1" sqref="AK6"/>
    <dataValidation allowBlank="1" showDropDown="0" showInputMessage="1" showErrorMessage="1" sqref="AL3"/>
    <dataValidation allowBlank="1" showDropDown="0" showInputMessage="1" showErrorMessage="1" sqref="AL4"/>
    <dataValidation allowBlank="1" showDropDown="0" showInputMessage="1" showErrorMessage="1" sqref="AL5"/>
    <dataValidation allowBlank="1" showDropDown="0" showInputMessage="1" showErrorMessage="1" sqref="AL6"/>
    <dataValidation allowBlank="1" showDropDown="0" showInputMessage="1" showErrorMessage="1" sqref="AM3"/>
    <dataValidation allowBlank="1" showDropDown="0" showInputMessage="1" showErrorMessage="1" sqref="AM4"/>
    <dataValidation allowBlank="1" showDropDown="0" showInputMessage="1" showErrorMessage="1" sqref="AM5"/>
    <dataValidation allowBlank="1" showDropDown="0" showInputMessage="1" showErrorMessage="1" sqref="AM6"/>
    <dataValidation allowBlank="1" showDropDown="0" showInputMessage="1" showErrorMessage="1" sqref="AN3"/>
    <dataValidation allowBlank="1" showDropDown="0" showInputMessage="1" showErrorMessage="1" sqref="AN4"/>
    <dataValidation allowBlank="1" showDropDown="0" showInputMessage="1" showErrorMessage="1" sqref="AN5"/>
    <dataValidation allowBlank="1" showDropDown="0" showInputMessage="1" showErrorMessage="1" sqref="AN6"/>
    <dataValidation allowBlank="1" showDropDown="0" showInputMessage="1" showErrorMessage="1" sqref="AI13"/>
    <dataValidation allowBlank="1" showDropDown="0" showInputMessage="1" showErrorMessage="1" sqref="AJ13"/>
    <dataValidation allowBlank="1" showDropDown="0" showInputMessage="1" showErrorMessage="1" sqref="AK13"/>
    <dataValidation allowBlank="1" showDropDown="0" showInputMessage="1" showErrorMessage="1" sqref="AL13"/>
    <dataValidation allowBlank="1" showDropDown="0" showInputMessage="1" showErrorMessage="1" sqref="AM13"/>
    <dataValidation allowBlank="1" showDropDown="0" showInputMessage="1" showErrorMessage="1" sqref="AN13"/>
    <dataValidation allowBlank="1" showDropDown="0" showInputMessage="1" showErrorMessage="1" sqref="AO13"/>
    <dataValidation allowBlank="1" showDropDown="0" showInputMessage="1" showErrorMessage="1" sqref="AI2"/>
    <dataValidation allowBlank="1" showDropDown="0" showInputMessage="1" showErrorMessage="1" sqref="AJ2"/>
    <dataValidation allowBlank="1" showDropDown="0" showInputMessage="1" showErrorMessage="1" sqref="AK2"/>
    <dataValidation allowBlank="1" showDropDown="0" showInputMessage="1" showErrorMessage="1" sqref="AL2"/>
    <dataValidation allowBlank="1" showDropDown="0" showInputMessage="1" showErrorMessage="1" sqref="AM2"/>
    <dataValidation allowBlank="1" showDropDown="0" showInputMessage="1" showErrorMessage="1" sqref="AN2"/>
    <dataValidation allowBlank="1" showDropDown="0" showInputMessage="1" showErrorMessage="1" sqref="AO2"/>
    <dataValidation allowBlank="1" showDropDown="0" showInputMessage="1" showErrorMessage="1" sqref="AP2"/>
    <dataValidation allowBlank="1" showDropDown="0" showInputMessage="1" showErrorMessage="1" sqref="Y13"/>
    <dataValidation allowBlank="1" showDropDown="0" showInputMessage="1" showErrorMessage="1" sqref="A13"/>
    <dataValidation allowBlank="1" showDropDown="0" showInputMessage="1" showErrorMessage="1" sqref="B13"/>
    <dataValidation allowBlank="1" showDropDown="0" showInputMessage="1" showErrorMessage="1" sqref="C13"/>
    <dataValidation allowBlank="1" showDropDown="0" showInputMessage="1" showErrorMessage="1" sqref="D13"/>
    <dataValidation allowBlank="1" showDropDown="0" showInputMessage="1" showErrorMessage="1" sqref="E13"/>
    <dataValidation allowBlank="1" showDropDown="0" showInputMessage="1" showErrorMessage="1" sqref="F13"/>
    <dataValidation allowBlank="1" showDropDown="0" showInputMessage="1" showErrorMessage="1" sqref="G13"/>
    <dataValidation allowBlank="1" showDropDown="0" showInputMessage="1" showErrorMessage="1" sqref="H13"/>
    <dataValidation allowBlank="1" showDropDown="0" showInputMessage="1" showErrorMessage="1" sqref="I13"/>
    <dataValidation allowBlank="1" showDropDown="0" showInputMessage="1" showErrorMessage="1" sqref="J13"/>
    <dataValidation allowBlank="1" showDropDown="0" showInputMessage="1" showErrorMessage="1" sqref="K13"/>
    <dataValidation allowBlank="1" showDropDown="0" showInputMessage="1" showErrorMessage="1" sqref="L13"/>
    <dataValidation allowBlank="1" showDropDown="0" showInputMessage="1" showErrorMessage="1" sqref="M13"/>
    <dataValidation allowBlank="1" showDropDown="0" showInputMessage="1" showErrorMessage="1" sqref="N13"/>
    <dataValidation allowBlank="1" showDropDown="0" showInputMessage="1" showErrorMessage="1" sqref="O13"/>
    <dataValidation allowBlank="1" showDropDown="0" showInputMessage="1" showErrorMessage="1" sqref="P13"/>
    <dataValidation allowBlank="1" showDropDown="0" showInputMessage="1" showErrorMessage="1" sqref="Q13"/>
    <dataValidation allowBlank="1" showDropDown="0" showInputMessage="1" showErrorMessage="1" sqref="R13"/>
    <dataValidation allowBlank="1" showDropDown="0" showInputMessage="1" showErrorMessage="1" sqref="S13"/>
    <dataValidation allowBlank="1" showDropDown="0" showInputMessage="1" showErrorMessage="1" sqref="T13"/>
    <dataValidation allowBlank="1" showDropDown="0" showInputMessage="1" showErrorMessage="1" sqref="U13"/>
    <dataValidation allowBlank="1" showDropDown="0" showInputMessage="1" showErrorMessage="1" sqref="V13"/>
    <dataValidation allowBlank="1" showDropDown="0" showInputMessage="1" showErrorMessage="1" sqref="AD13"/>
    <dataValidation allowBlank="1" showDropDown="0" showInputMessage="1" showErrorMessage="1" sqref="AI14"/>
    <dataValidation allowBlank="1" showDropDown="0" showInputMessage="1" showErrorMessage="1" sqref="AI15"/>
    <dataValidation allowBlank="1" showDropDown="0" showInputMessage="1" showErrorMessage="1" sqref="AI16"/>
    <dataValidation allowBlank="1" showDropDown="0" showInputMessage="1" showErrorMessage="1" sqref="AI17"/>
    <dataValidation allowBlank="1" showDropDown="0" showInputMessage="1" showErrorMessage="1" sqref="AI18"/>
    <dataValidation allowBlank="1" showDropDown="0" showInputMessage="1" showErrorMessage="1" sqref="AI19"/>
    <dataValidation allowBlank="1" showDropDown="0" showInputMessage="1" showErrorMessage="1" sqref="AI20"/>
    <dataValidation allowBlank="1" showDropDown="0" showInputMessage="1" showErrorMessage="1" sqref="AJ14"/>
    <dataValidation allowBlank="1" showDropDown="0" showInputMessage="1" showErrorMessage="1" sqref="AJ15"/>
    <dataValidation allowBlank="1" showDropDown="0" showInputMessage="1" showErrorMessage="1" sqref="AJ16"/>
    <dataValidation allowBlank="1" showDropDown="0" showInputMessage="1" showErrorMessage="1" sqref="AJ17"/>
    <dataValidation allowBlank="1" showDropDown="0" showInputMessage="1" showErrorMessage="1" sqref="AJ18"/>
    <dataValidation allowBlank="1" showDropDown="0" showInputMessage="1" showErrorMessage="1" sqref="AJ19"/>
    <dataValidation allowBlank="1" showDropDown="0" showInputMessage="1" showErrorMessage="1" sqref="AJ20"/>
    <dataValidation allowBlank="1" showDropDown="0" showInputMessage="1" showErrorMessage="1" sqref="AK14"/>
    <dataValidation allowBlank="1" showDropDown="0" showInputMessage="1" showErrorMessage="1" sqref="AK15"/>
    <dataValidation allowBlank="1" showDropDown="0" showInputMessage="1" showErrorMessage="1" sqref="AK16"/>
    <dataValidation allowBlank="1" showDropDown="0" showInputMessage="1" showErrorMessage="1" sqref="AK17"/>
    <dataValidation allowBlank="1" showDropDown="0" showInputMessage="1" showErrorMessage="1" sqref="AK18"/>
    <dataValidation allowBlank="1" showDropDown="0" showInputMessage="1" showErrorMessage="1" sqref="AK19"/>
    <dataValidation allowBlank="1" showDropDown="0" showInputMessage="1" showErrorMessage="1" sqref="AK20"/>
    <dataValidation allowBlank="1" showDropDown="0" showInputMessage="1" showErrorMessage="1" sqref="AL14"/>
    <dataValidation allowBlank="1" showDropDown="0" showInputMessage="1" showErrorMessage="1" sqref="AL15"/>
    <dataValidation allowBlank="1" showDropDown="0" showInputMessage="1" showErrorMessage="1" sqref="AL16"/>
    <dataValidation allowBlank="1" showDropDown="0" showInputMessage="1" showErrorMessage="1" sqref="AL17"/>
    <dataValidation allowBlank="1" showDropDown="0" showInputMessage="1" showErrorMessage="1" sqref="AL18"/>
    <dataValidation allowBlank="1" showDropDown="0" showInputMessage="1" showErrorMessage="1" sqref="AL19"/>
    <dataValidation allowBlank="1" showDropDown="0" showInputMessage="1" showErrorMessage="1" sqref="AL20"/>
    <dataValidation allowBlank="1" showDropDown="0" showInputMessage="1" showErrorMessage="1" sqref="AM14"/>
    <dataValidation allowBlank="1" showDropDown="0" showInputMessage="1" showErrorMessage="1" sqref="AM15"/>
    <dataValidation allowBlank="1" showDropDown="0" showInputMessage="1" showErrorMessage="1" sqref="AM16"/>
    <dataValidation allowBlank="1" showDropDown="0" showInputMessage="1" showErrorMessage="1" sqref="AM17"/>
    <dataValidation allowBlank="1" showDropDown="0" showInputMessage="1" showErrorMessage="1" sqref="AM18"/>
    <dataValidation allowBlank="1" showDropDown="0" showInputMessage="1" showErrorMessage="1" sqref="AM19"/>
    <dataValidation allowBlank="1" showDropDown="0" showInputMessage="1" showErrorMessage="1" sqref="AM20"/>
    <dataValidation allowBlank="1" showDropDown="0" showInputMessage="1" showErrorMessage="1" sqref="AN14"/>
    <dataValidation allowBlank="1" showDropDown="0" showInputMessage="1" showErrorMessage="1" sqref="AN15"/>
    <dataValidation allowBlank="1" showDropDown="0" showInputMessage="1" showErrorMessage="1" sqref="AN16"/>
    <dataValidation allowBlank="1" showDropDown="0" showInputMessage="1" showErrorMessage="1" sqref="AN17"/>
    <dataValidation allowBlank="1" showDropDown="0" showInputMessage="1" showErrorMessage="1" sqref="AN18"/>
    <dataValidation allowBlank="1" showDropDown="0" showInputMessage="1" showErrorMessage="1" sqref="AN19"/>
    <dataValidation allowBlank="1" showDropDown="0" showInputMessage="1" showErrorMessage="1" sqref="AN20"/>
    <dataValidation allowBlank="1" showDropDown="0" showInputMessage="1" showErrorMessage="1" sqref="AO14"/>
    <dataValidation allowBlank="1" showDropDown="0" showInputMessage="1" showErrorMessage="1" sqref="AO15"/>
    <dataValidation allowBlank="1" showDropDown="0" showInputMessage="1" showErrorMessage="1" sqref="AO16"/>
    <dataValidation allowBlank="1" showDropDown="0" showInputMessage="1" showErrorMessage="1" sqref="AO17"/>
    <dataValidation allowBlank="1" showDropDown="0" showInputMessage="1" showErrorMessage="1" sqref="AO18"/>
    <dataValidation allowBlank="1" showDropDown="0" showInputMessage="1" showErrorMessage="1" sqref="AO19"/>
    <dataValidation allowBlank="1" showDropDown="0" showInputMessage="1" showErrorMessage="1" sqref="AO20"/>
    <dataValidation allowBlank="1" showDropDown="0" showInputMessage="1" showErrorMessage="1" sqref="AP14"/>
    <dataValidation allowBlank="1" showDropDown="0" showInputMessage="1" showErrorMessage="1" sqref="AP15"/>
    <dataValidation allowBlank="1" showDropDown="0" showInputMessage="1" showErrorMessage="1" sqref="AP16"/>
    <dataValidation allowBlank="1" showDropDown="0" showInputMessage="1" showErrorMessage="1" sqref="AP17"/>
    <dataValidation allowBlank="1" showDropDown="0" showInputMessage="1" showErrorMessage="1" sqref="AP18"/>
    <dataValidation allowBlank="1" showDropDown="0" showInputMessage="1" showErrorMessage="1" sqref="AP19"/>
    <dataValidation allowBlank="1" showDropDown="0" showInputMessage="1" showErrorMessage="1" sqref="AP20"/>
    <dataValidation allowBlank="1" showDropDown="0" showInputMessage="1" showErrorMessage="1" sqref="AQ14"/>
    <dataValidation allowBlank="1" showDropDown="0" showInputMessage="1" showErrorMessage="1" sqref="AQ15"/>
    <dataValidation allowBlank="1" showDropDown="0" showInputMessage="1" showErrorMessage="1" sqref="AQ16"/>
    <dataValidation allowBlank="1" showDropDown="0" showInputMessage="1" showErrorMessage="1" sqref="AQ17"/>
    <dataValidation allowBlank="1" showDropDown="0" showInputMessage="1" showErrorMessage="1" sqref="AQ18"/>
    <dataValidation allowBlank="1" showDropDown="0" showInputMessage="1" showErrorMessage="1" sqref="AQ19"/>
    <dataValidation allowBlank="1" showDropDown="0" showInputMessage="1" showErrorMessage="1" sqref="AQ20"/>
    <dataValidation allowBlank="1" showDropDown="0" showInputMessage="1" showErrorMessage="1" sqref="AR14"/>
    <dataValidation allowBlank="1" showDropDown="0" showInputMessage="1" showErrorMessage="1" sqref="AR15"/>
    <dataValidation allowBlank="1" showDropDown="0" showInputMessage="1" showErrorMessage="1" sqref="AR16"/>
    <dataValidation allowBlank="1" showDropDown="0" showInputMessage="1" showErrorMessage="1" sqref="AR17"/>
    <dataValidation allowBlank="1" showDropDown="0" showInputMessage="1" showErrorMessage="1" sqref="AR18"/>
    <dataValidation allowBlank="1" showDropDown="0" showInputMessage="1" showErrorMessage="1" sqref="AR19"/>
    <dataValidation allowBlank="1" showDropDown="0" showInputMessage="1" showErrorMessage="1" sqref="AR20"/>
    <dataValidation allowBlank="1" showDropDown="0" showInputMessage="1" showErrorMessage="1" sqref="AS14"/>
    <dataValidation allowBlank="1" showDropDown="0" showInputMessage="1" showErrorMessage="1" sqref="AS15"/>
    <dataValidation allowBlank="1" showDropDown="0" showInputMessage="1" showErrorMessage="1" sqref="AS16"/>
    <dataValidation allowBlank="1" showDropDown="0" showInputMessage="1" showErrorMessage="1" sqref="AS17"/>
    <dataValidation allowBlank="1" showDropDown="0" showInputMessage="1" showErrorMessage="1" sqref="AS18"/>
    <dataValidation allowBlank="1" showDropDown="0" showInputMessage="1" showErrorMessage="1" sqref="AS19"/>
    <dataValidation allowBlank="1" showDropDown="0" showInputMessage="1" showErrorMessage="1" sqref="AS20"/>
    <dataValidation allowBlank="1" showDropDown="0" showInputMessage="1" showErrorMessage="1" sqref="Q14"/>
    <dataValidation allowBlank="1" showDropDown="0" showInputMessage="1" showErrorMessage="1" sqref="Q15"/>
    <dataValidation allowBlank="1" showDropDown="0" showInputMessage="1" showErrorMessage="1" sqref="Q16"/>
    <dataValidation allowBlank="1" showDropDown="0" showInputMessage="1" showErrorMessage="1" sqref="Q17"/>
    <dataValidation allowBlank="1" showDropDown="0" showInputMessage="1" showErrorMessage="1" sqref="Q18"/>
    <dataValidation allowBlank="1" showDropDown="0" showInputMessage="1" showErrorMessage="1" sqref="Q19"/>
    <dataValidation allowBlank="1" showDropDown="0" showInputMessage="1" showErrorMessage="1" sqref="Q20"/>
    <dataValidation allowBlank="1" showDropDown="0" showInputMessage="1" showErrorMessage="1" sqref="R14"/>
    <dataValidation allowBlank="1" showDropDown="0" showInputMessage="1" showErrorMessage="1" sqref="R15"/>
    <dataValidation allowBlank="1" showDropDown="0" showInputMessage="1" showErrorMessage="1" sqref="R16"/>
    <dataValidation allowBlank="1" showDropDown="0" showInputMessage="1" showErrorMessage="1" sqref="R17"/>
    <dataValidation allowBlank="1" showDropDown="0" showInputMessage="1" showErrorMessage="1" sqref="R18"/>
    <dataValidation allowBlank="1" showDropDown="0" showInputMessage="1" showErrorMessage="1" sqref="R19"/>
    <dataValidation allowBlank="1" showDropDown="0" showInputMessage="1" showErrorMessage="1" sqref="R20"/>
    <dataValidation allowBlank="1" showDropDown="0" showInputMessage="1" showErrorMessage="1" sqref="S14"/>
    <dataValidation allowBlank="1" showDropDown="0" showInputMessage="1" showErrorMessage="1" sqref="S15"/>
    <dataValidation allowBlank="1" showDropDown="0" showInputMessage="1" showErrorMessage="1" sqref="S16"/>
    <dataValidation allowBlank="1" showDropDown="0" showInputMessage="1" showErrorMessage="1" sqref="S17"/>
    <dataValidation allowBlank="1" showDropDown="0" showInputMessage="1" showErrorMessage="1" sqref="S18"/>
    <dataValidation allowBlank="1" showDropDown="0" showInputMessage="1" showErrorMessage="1" sqref="S19"/>
    <dataValidation allowBlank="1" showDropDown="0" showInputMessage="1" showErrorMessage="1" sqref="S20"/>
    <dataValidation allowBlank="1" showDropDown="0" showInputMessage="1" showErrorMessage="1" sqref="T14"/>
    <dataValidation allowBlank="1" showDropDown="0" showInputMessage="1" showErrorMessage="1" sqref="T15"/>
    <dataValidation allowBlank="1" showDropDown="0" showInputMessage="1" showErrorMessage="1" sqref="T16"/>
    <dataValidation allowBlank="1" showDropDown="0" showInputMessage="1" showErrorMessage="1" sqref="T17"/>
    <dataValidation allowBlank="1" showDropDown="0" showInputMessage="1" showErrorMessage="1" sqref="T18"/>
    <dataValidation allowBlank="1" showDropDown="0" showInputMessage="1" showErrorMessage="1" sqref="T19"/>
    <dataValidation allowBlank="1" showDropDown="0" showInputMessage="1" showErrorMessage="1" sqref="T20"/>
    <dataValidation allowBlank="1" showDropDown="0" showInputMessage="1" showErrorMessage="1" sqref="U14"/>
    <dataValidation allowBlank="1" showDropDown="0" showInputMessage="1" showErrorMessage="1" sqref="U15"/>
    <dataValidation allowBlank="1" showDropDown="0" showInputMessage="1" showErrorMessage="1" sqref="U16"/>
    <dataValidation allowBlank="1" showDropDown="0" showInputMessage="1" showErrorMessage="1" sqref="U17"/>
    <dataValidation allowBlank="1" showDropDown="0" showInputMessage="1" showErrorMessage="1" sqref="U18"/>
    <dataValidation allowBlank="1" showDropDown="0" showInputMessage="1" showErrorMessage="1" sqref="U19"/>
    <dataValidation allowBlank="1" showDropDown="0" showInputMessage="1" showErrorMessage="1" sqref="U20"/>
    <dataValidation allowBlank="1" showDropDown="0" showInputMessage="1" showErrorMessage="1" sqref="V14"/>
    <dataValidation allowBlank="1" showDropDown="0" showInputMessage="1" showErrorMessage="1" sqref="V15"/>
    <dataValidation allowBlank="1" showDropDown="0" showInputMessage="1" showErrorMessage="1" sqref="V16"/>
    <dataValidation allowBlank="1" showDropDown="0" showInputMessage="1" showErrorMessage="1" sqref="V17"/>
    <dataValidation allowBlank="1" showDropDown="0" showInputMessage="1" showErrorMessage="1" sqref="V18"/>
    <dataValidation allowBlank="1" showDropDown="0" showInputMessage="1" showErrorMessage="1" sqref="V19"/>
    <dataValidation allowBlank="1" showDropDown="0" showInputMessage="1" showErrorMessage="1" sqref="V20"/>
    <dataValidation allowBlank="1" showDropDown="0" showInputMessage="1" showErrorMessage="1" sqref="A14"/>
    <dataValidation allowBlank="1" showDropDown="0" showInputMessage="1" showErrorMessage="1" sqref="A15"/>
    <dataValidation allowBlank="1" showDropDown="0" showInputMessage="1" showErrorMessage="1" sqref="A16"/>
    <dataValidation allowBlank="1" showDropDown="0" showInputMessage="1" showErrorMessage="1" sqref="A17"/>
    <dataValidation allowBlank="1" showDropDown="0" showInputMessage="1" showErrorMessage="1" sqref="A18"/>
    <dataValidation allowBlank="1" showDropDown="0" showInputMessage="1" showErrorMessage="1" sqref="A19"/>
    <dataValidation allowBlank="1" showDropDown="0" showInputMessage="1" showErrorMessage="1" sqref="A20"/>
    <dataValidation allowBlank="1" showDropDown="0" showInputMessage="1" showErrorMessage="1" sqref="B14"/>
    <dataValidation allowBlank="1" showDropDown="0" showInputMessage="1" showErrorMessage="1" sqref="B15"/>
    <dataValidation allowBlank="1" showDropDown="0" showInputMessage="1" showErrorMessage="1" sqref="B16"/>
    <dataValidation allowBlank="1" showDropDown="0" showInputMessage="1" showErrorMessage="1" sqref="B17"/>
    <dataValidation allowBlank="1" showDropDown="0" showInputMessage="1" showErrorMessage="1" sqref="B18"/>
    <dataValidation allowBlank="1" showDropDown="0" showInputMessage="1" showErrorMessage="1" sqref="B19"/>
    <dataValidation allowBlank="1" showDropDown="0" showInputMessage="1" showErrorMessage="1" sqref="B20"/>
    <dataValidation allowBlank="1" showDropDown="0" showInputMessage="1" showErrorMessage="1" sqref="C14"/>
    <dataValidation allowBlank="1" showDropDown="0" showInputMessage="1" showErrorMessage="1" sqref="C15"/>
    <dataValidation allowBlank="1" showDropDown="0" showInputMessage="1" showErrorMessage="1" sqref="C16"/>
    <dataValidation allowBlank="1" showDropDown="0" showInputMessage="1" showErrorMessage="1" sqref="C17"/>
    <dataValidation allowBlank="1" showDropDown="0" showInputMessage="1" showErrorMessage="1" sqref="C18"/>
    <dataValidation allowBlank="1" showDropDown="0" showInputMessage="1" showErrorMessage="1" sqref="C19"/>
    <dataValidation allowBlank="1" showDropDown="0" showInputMessage="1" showErrorMessage="1" sqref="C20"/>
    <dataValidation allowBlank="1" showDropDown="0" showInputMessage="1" showErrorMessage="1" sqref="D14"/>
    <dataValidation allowBlank="1" showDropDown="0" showInputMessage="1" showErrorMessage="1" sqref="D15"/>
    <dataValidation allowBlank="1" showDropDown="0" showInputMessage="1" showErrorMessage="1" sqref="D16"/>
    <dataValidation allowBlank="1" showDropDown="0" showInputMessage="1" showErrorMessage="1" sqref="D17"/>
    <dataValidation allowBlank="1" showDropDown="0" showInputMessage="1" showErrorMessage="1" sqref="D18"/>
    <dataValidation allowBlank="1" showDropDown="0" showInputMessage="1" showErrorMessage="1" sqref="D19"/>
    <dataValidation allowBlank="1" showDropDown="0" showInputMessage="1" showErrorMessage="1" sqref="D20"/>
    <dataValidation allowBlank="1" showDropDown="0" showInputMessage="1" showErrorMessage="1" sqref="E14"/>
    <dataValidation allowBlank="1" showDropDown="0" showInputMessage="1" showErrorMessage="1" sqref="E15"/>
    <dataValidation allowBlank="1" showDropDown="0" showInputMessage="1" showErrorMessage="1" sqref="E16"/>
    <dataValidation allowBlank="1" showDropDown="0" showInputMessage="1" showErrorMessage="1" sqref="E17"/>
    <dataValidation allowBlank="1" showDropDown="0" showInputMessage="1" showErrorMessage="1" sqref="E18"/>
    <dataValidation allowBlank="1" showDropDown="0" showInputMessage="1" showErrorMessage="1" sqref="E19"/>
    <dataValidation allowBlank="1" showDropDown="0" showInputMessage="1" showErrorMessage="1" sqref="E20"/>
    <dataValidation allowBlank="1" showDropDown="0" showInputMessage="1" showErrorMessage="1" sqref="F14"/>
    <dataValidation allowBlank="1" showDropDown="0" showInputMessage="1" showErrorMessage="1" sqref="F15"/>
    <dataValidation allowBlank="1" showDropDown="0" showInputMessage="1" showErrorMessage="1" sqref="F16"/>
    <dataValidation allowBlank="1" showDropDown="0" showInputMessage="1" showErrorMessage="1" sqref="F17"/>
    <dataValidation allowBlank="1" showDropDown="0" showInputMessage="1" showErrorMessage="1" sqref="F18"/>
    <dataValidation allowBlank="1" showDropDown="0" showInputMessage="1" showErrorMessage="1" sqref="F19"/>
    <dataValidation allowBlank="1" showDropDown="0" showInputMessage="1" showErrorMessage="1" sqref="F20"/>
    <dataValidation allowBlank="1" showDropDown="0" showInputMessage="1" showErrorMessage="1" sqref="G14"/>
    <dataValidation allowBlank="1" showDropDown="0" showInputMessage="1" showErrorMessage="1" sqref="G15"/>
    <dataValidation allowBlank="1" showDropDown="0" showInputMessage="1" showErrorMessage="1" sqref="G16"/>
    <dataValidation allowBlank="1" showDropDown="0" showInputMessage="1" showErrorMessage="1" sqref="G17"/>
    <dataValidation allowBlank="1" showDropDown="0" showInputMessage="1" showErrorMessage="1" sqref="G18"/>
    <dataValidation allowBlank="1" showDropDown="0" showInputMessage="1" showErrorMessage="1" sqref="G19"/>
    <dataValidation allowBlank="1" showDropDown="0" showInputMessage="1" showErrorMessage="1" sqref="G20"/>
    <dataValidation allowBlank="1" showDropDown="0" showInputMessage="1" showErrorMessage="1" sqref="H14"/>
    <dataValidation allowBlank="1" showDropDown="0" showInputMessage="1" showErrorMessage="1" sqref="H15"/>
    <dataValidation allowBlank="1" showDropDown="0" showInputMessage="1" showErrorMessage="1" sqref="H16"/>
    <dataValidation allowBlank="1" showDropDown="0" showInputMessage="1" showErrorMessage="1" sqref="H17"/>
    <dataValidation allowBlank="1" showDropDown="0" showInputMessage="1" showErrorMessage="1" sqref="H18"/>
    <dataValidation allowBlank="1" showDropDown="0" showInputMessage="1" showErrorMessage="1" sqref="H19"/>
    <dataValidation allowBlank="1" showDropDown="0" showInputMessage="1" showErrorMessage="1" sqref="H20"/>
    <dataValidation allowBlank="1" showDropDown="0" showInputMessage="1" showErrorMessage="1" sqref="I14"/>
    <dataValidation allowBlank="1" showDropDown="0" showInputMessage="1" showErrorMessage="1" sqref="I15"/>
    <dataValidation allowBlank="1" showDropDown="0" showInputMessage="1" showErrorMessage="1" sqref="I16"/>
    <dataValidation allowBlank="1" showDropDown="0" showInputMessage="1" showErrorMessage="1" sqref="I17"/>
    <dataValidation allowBlank="1" showDropDown="0" showInputMessage="1" showErrorMessage="1" sqref="I18"/>
    <dataValidation allowBlank="1" showDropDown="0" showInputMessage="1" showErrorMessage="1" sqref="I19"/>
    <dataValidation allowBlank="1" showDropDown="0" showInputMessage="1" showErrorMessage="1" sqref="I20"/>
    <dataValidation allowBlank="1" showDropDown="0" showInputMessage="1" showErrorMessage="1" sqref="J14"/>
    <dataValidation allowBlank="1" showDropDown="0" showInputMessage="1" showErrorMessage="1" sqref="J15"/>
    <dataValidation allowBlank="1" showDropDown="0" showInputMessage="1" showErrorMessage="1" sqref="J16"/>
    <dataValidation allowBlank="1" showDropDown="0" showInputMessage="1" showErrorMessage="1" sqref="J17"/>
    <dataValidation allowBlank="1" showDropDown="0" showInputMessage="1" showErrorMessage="1" sqref="J18"/>
    <dataValidation allowBlank="1" showDropDown="0" showInputMessage="1" showErrorMessage="1" sqref="J19"/>
    <dataValidation allowBlank="1" showDropDown="0" showInputMessage="1" showErrorMessage="1" sqref="J20"/>
    <dataValidation allowBlank="1" showDropDown="0" showInputMessage="1" showErrorMessage="1" sqref="K14"/>
    <dataValidation allowBlank="1" showDropDown="0" showInputMessage="1" showErrorMessage="1" sqref="K15"/>
    <dataValidation allowBlank="1" showDropDown="0" showInputMessage="1" showErrorMessage="1" sqref="K16"/>
    <dataValidation allowBlank="1" showDropDown="0" showInputMessage="1" showErrorMessage="1" sqref="K17"/>
    <dataValidation allowBlank="1" showDropDown="0" showInputMessage="1" showErrorMessage="1" sqref="K18"/>
    <dataValidation allowBlank="1" showDropDown="0" showInputMessage="1" showErrorMessage="1" sqref="K19"/>
    <dataValidation allowBlank="1" showDropDown="0" showInputMessage="1" showErrorMessage="1" sqref="K20"/>
    <dataValidation allowBlank="1" showDropDown="0" showInputMessage="1" showErrorMessage="1" sqref="L14"/>
    <dataValidation allowBlank="1" showDropDown="0" showInputMessage="1" showErrorMessage="1" sqref="L15"/>
    <dataValidation allowBlank="1" showDropDown="0" showInputMessage="1" showErrorMessage="1" sqref="L16"/>
    <dataValidation allowBlank="1" showDropDown="0" showInputMessage="1" showErrorMessage="1" sqref="L17"/>
    <dataValidation allowBlank="1" showDropDown="0" showInputMessage="1" showErrorMessage="1" sqref="L18"/>
    <dataValidation allowBlank="1" showDropDown="0" showInputMessage="1" showErrorMessage="1" sqref="L19"/>
    <dataValidation allowBlank="1" showDropDown="0" showInputMessage="1" showErrorMessage="1" sqref="L20"/>
    <dataValidation allowBlank="1" showDropDown="0" showInputMessage="1" showErrorMessage="1" sqref="M14"/>
    <dataValidation allowBlank="1" showDropDown="0" showInputMessage="1" showErrorMessage="1" sqref="M15"/>
    <dataValidation allowBlank="1" showDropDown="0" showInputMessage="1" showErrorMessage="1" sqref="M16"/>
    <dataValidation allowBlank="1" showDropDown="0" showInputMessage="1" showErrorMessage="1" sqref="M17"/>
    <dataValidation allowBlank="1" showDropDown="0" showInputMessage="1" showErrorMessage="1" sqref="M18"/>
    <dataValidation allowBlank="1" showDropDown="0" showInputMessage="1" showErrorMessage="1" sqref="M19"/>
    <dataValidation allowBlank="1" showDropDown="0" showInputMessage="1" showErrorMessage="1" sqref="M20"/>
    <dataValidation allowBlank="1" showDropDown="0" showInputMessage="1" showErrorMessage="1" sqref="N14"/>
    <dataValidation allowBlank="1" showDropDown="0" showInputMessage="1" showErrorMessage="1" sqref="N15"/>
    <dataValidation allowBlank="1" showDropDown="0" showInputMessage="1" showErrorMessage="1" sqref="N16"/>
    <dataValidation allowBlank="1" showDropDown="0" showInputMessage="1" showErrorMessage="1" sqref="N17"/>
    <dataValidation allowBlank="1" showDropDown="0" showInputMessage="1" showErrorMessage="1" sqref="N18"/>
    <dataValidation allowBlank="1" showDropDown="0" showInputMessage="1" showErrorMessage="1" sqref="N19"/>
    <dataValidation allowBlank="1" showDropDown="0" showInputMessage="1" showErrorMessage="1" sqref="N20"/>
    <dataValidation allowBlank="1" showDropDown="0" showInputMessage="1" showErrorMessage="1" sqref="O14"/>
    <dataValidation allowBlank="1" showDropDown="0" showInputMessage="1" showErrorMessage="1" sqref="O15"/>
    <dataValidation allowBlank="1" showDropDown="0" showInputMessage="1" showErrorMessage="1" sqref="O16"/>
    <dataValidation allowBlank="1" showDropDown="0" showInputMessage="1" showErrorMessage="1" sqref="O17"/>
    <dataValidation allowBlank="1" showDropDown="0" showInputMessage="1" showErrorMessage="1" sqref="O18"/>
    <dataValidation allowBlank="1" showDropDown="0" showInputMessage="1" showErrorMessage="1" sqref="O19"/>
    <dataValidation allowBlank="1" showDropDown="0" showInputMessage="1" showErrorMessage="1" sqref="O20"/>
    <dataValidation allowBlank="1" showDropDown="0" showInputMessage="1" showErrorMessage="1" sqref="P21"/>
    <dataValidation allowBlank="1" showDropDown="0" showInputMessage="1" showErrorMessage="1" sqref="AR22"/>
    <dataValidation allowBlank="1" showDropDown="0" showInputMessage="1" showErrorMessage="1" sqref="AH22"/>
    <dataValidation allowBlank="1" showDropDown="0" showInputMessage="1" showErrorMessage="1" sqref="AG22"/>
    <dataValidation allowBlank="1" showDropDown="0" showInputMessage="1" showErrorMessage="1" sqref="AF22"/>
    <dataValidation allowBlank="1" showDropDown="0" showInputMessage="1" showErrorMessage="1" sqref="AE22"/>
    <dataValidation allowBlank="1" showDropDown="0" showInputMessage="1" showErrorMessage="1" sqref="AD22"/>
    <dataValidation allowBlank="1" showDropDown="0" showInputMessage="1" showErrorMessage="1" sqref="AC22"/>
    <dataValidation allowBlank="1" showDropDown="0" showInputMessage="1" showErrorMessage="1" sqref="AB22"/>
    <dataValidation allowBlank="1" showDropDown="0" showInputMessage="1" showErrorMessage="1" sqref="AA22"/>
    <dataValidation allowBlank="1" showDropDown="0" showInputMessage="1" showErrorMessage="1" sqref="Z22"/>
    <dataValidation allowBlank="1" showDropDown="0" showInputMessage="1" showErrorMessage="1" sqref="Y22"/>
    <dataValidation allowBlank="1" showDropDown="0" showInputMessage="1" showErrorMessage="1" sqref="X22"/>
    <dataValidation allowBlank="1" showDropDown="0" showInputMessage="1" showErrorMessage="1" sqref="W22"/>
  </dataValidations>
  <printOptions gridLines="false" gridLinesSet="true"/>
  <pageMargins left="0.7083333333333334" right="0.7083333333333334" top="0.7479166666666667" bottom="0.7479166666666667" header="0.3145833333333333" footer="0.3145833333333333"/>
  <pageSetup paperSize="9" orientation="portrait" scale="34" fitToHeight="1" fitToWidth="1"/>
  <headerFooter differentOddEven="false" differentFirst="false" scaleWithDoc="true" alignWithMargins="fals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オーダー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mikami</dc:creator>
  <cp:lastModifiedBy>Windows ユーザー</cp:lastModifiedBy>
  <dcterms:created xsi:type="dcterms:W3CDTF">2011-02-19T00:43:27+09:00</dcterms:created>
  <dcterms:modified xsi:type="dcterms:W3CDTF">2021-05-11T11:31:18+09:00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1041-8.1.0.3373</vt:lpwstr>
  </property>
</Properties>
</file>