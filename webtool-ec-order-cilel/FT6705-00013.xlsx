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オーダー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<sst xmlns="http://schemas.openxmlformats.org/spreadsheetml/2006/main" uniqueCount="143">
  <si>
    <t>注文日</t>
  </si>
  <si>
    <t>2025/11/12</t>
  </si>
  <si>
    <t>注文NO</t>
  </si>
  <si>
    <t>FT6705-00013</t>
  </si>
  <si>
    <t>会員メモ</t>
  </si>
  <si>
    <t>会員→FT</t>
  </si>
  <si>
    <t>CiLEL 注文シート</t>
  </si>
  <si>
    <t>アパレル商品</t>
  </si>
  <si>
    <t>（控え）</t>
  </si>
  <si>
    <t>出力日時</t>
  </si>
  <si>
    <t>2025/11/29 21:15:39</t>
  </si>
  <si>
    <t xml:space="preserve">航空便⇒船便でお見積もりを作成してください。
商品に「MADE IN CHINA」とプリントされたシールを貼り付け作業をお願いします。
 FT6705-00012 5番の前回遅延分も同梱してください。
</t>
  </si>
  <si>
    <t>発送先情報</t>
  </si>
  <si>
    <t>お名前</t>
  </si>
  <si>
    <t>郵便番号</t>
  </si>
  <si>
    <t>住所</t>
  </si>
  <si>
    <t>商品代合計（A）</t>
  </si>
  <si>
    <t>代行手数料（B）</t>
  </si>
  <si>
    <t>中国内送料（C）</t>
  </si>
  <si>
    <t>国際送料（D）</t>
  </si>
  <si>
    <t>発送1</t>
  </si>
  <si>
    <t>UOF快船自宅 JBX1JUT8290</t>
  </si>
  <si>
    <t>kg</t>
  </si>
  <si>
    <t>元</t>
  </si>
  <si>
    <t>発送7</t>
  </si>
  <si>
    <t>久米 由貴</t>
  </si>
  <si>
    <t>大阪府大阪市都島区東野田町1丁目10-3 ル・アーブル東野田301号室</t>
  </si>
  <si>
    <t>発送2</t>
  </si>
  <si>
    <t>発送8</t>
  </si>
  <si>
    <t>Eメールアドレス</t>
  </si>
  <si>
    <t>スカイプID</t>
  </si>
  <si>
    <t>電話番号</t>
  </si>
  <si>
    <t>検品作業費</t>
  </si>
  <si>
    <t>物流加工費</t>
  </si>
  <si>
    <t>発送3</t>
  </si>
  <si>
    <t>発送9</t>
  </si>
  <si>
    <t>calm.store.order@gmail.com</t>
  </si>
  <si>
    <t>070-8481-8260</t>
  </si>
  <si>
    <t>発送4</t>
  </si>
  <si>
    <t>発送10</t>
  </si>
  <si>
    <t>前金</t>
  </si>
  <si>
    <t>発送精算済</t>
  </si>
  <si>
    <t>重さ</t>
  </si>
  <si>
    <t>発送5</t>
  </si>
  <si>
    <t>発送11</t>
  </si>
  <si>
    <t>(E) + (F) + 調整分 + 関税立替　＝　FBA合計</t>
  </si>
  <si>
    <t>（A）+（B）+（C）+（D）+(E)+(F)　＝</t>
  </si>
  <si>
    <t>支払合計</t>
  </si>
  <si>
    <t>発送6</t>
  </si>
  <si>
    <t>発送12</t>
  </si>
  <si>
    <t>１元 =</t>
  </si>
  <si>
    <t>手数料 =</t>
  </si>
  <si>
    <t>支払い方法</t>
  </si>
  <si>
    <t>PayPal</t>
  </si>
  <si>
    <t>出荷予定日</t>
  </si>
  <si>
    <t>2025/11/18</t>
  </si>
  <si>
    <t>予定</t>
  </si>
  <si>
    <t>番号</t>
  </si>
  <si>
    <t>サイトURL</t>
  </si>
  <si>
    <t>写真</t>
  </si>
  <si>
    <t>サイズ・カラー・各個数など</t>
  </si>
  <si>
    <t>発注
数量</t>
  </si>
  <si>
    <t>入荷
数量</t>
  </si>
  <si>
    <t>出荷
数量</t>
  </si>
  <si>
    <t>単価(元)</t>
  </si>
  <si>
    <t>日本円</t>
  </si>
  <si>
    <t>小計（円）</t>
  </si>
  <si>
    <t>中国内送料</t>
  </si>
  <si>
    <t>ショップ発注</t>
  </si>
  <si>
    <t>到着予定日</t>
  </si>
  <si>
    <t>状態</t>
  </si>
  <si>
    <t>状況</t>
  </si>
  <si>
    <t>検品ﾌﾟﾗﾝ</t>
  </si>
  <si>
    <t>発送先住所</t>
  </si>
  <si>
    <t>納品指示</t>
  </si>
  <si>
    <t xml:space="preserve">https://detail.1688.com/offer/701059396803.html?kj_agent_plugin=aliprice&amp;fromkv=xytTrace:213f867c17616635981608523e0ecc&amp;token=M5RHTuxa8qX1hut%2FS7v8oLt016w0uNd4J9eqdt%2FfQ73RNJDuQX3rYMSE0eN0iE9i
</t>
  </si>
  <si>
    <t>黑色
均码（80斤-135斤）
x 20</t>
  </si>
  <si>
    <t>2025/11/17</t>
  </si>
  <si>
    <t>単価6.9元⇒6.6元に修正しました、</t>
  </si>
  <si>
    <t>仕様確認</t>
  </si>
  <si>
    <t>久米 由貴
大阪府大阪市都島区東野田町1丁目10-3
ル・アーブル東野田301号室
070-8481-8260</t>
  </si>
  <si>
    <t xml:space="preserve">https://detail.1688.com/offer/940202469940.html?kj_agent_plugin=aliprice&amp;fromkv=xytTrace:213f867c17616635981608523e0ecc&amp;token=x81egSKdyZa7pvGhLPn097t016w0uNd4J9eqdt%2FfQ73RNJDuQX3rYMSE0eN0iE9i
</t>
  </si>
  <si>
    <t xml:space="preserve">2件装【黑色+黑色】有胸垫
L【100-120斤】 x 5
XL【120-140斤】 x 5
</t>
  </si>
  <si>
    <t>2025/11/19</t>
  </si>
  <si>
    <t>次回発送</t>
  </si>
  <si>
    <t>【遅延】ショップ未出荷：ショップに確認中（11/19確認）
【遅延】サイズが発送間違い、交換中、11/23到着予定です。（11/19確認）
到着：1
未着：
L【100-120斤】 x 4 
XL【120-140斤】 x 5
---
【遅延】ショップ未出荷：ショップに確認中（11/27確認）</t>
  </si>
  <si>
    <t xml:space="preserve">https://detail.1688.com/offer/737882167212.html?kj_agent_plugin=aliprice&amp;fromkv=xytTrace%3A2108837b17616650362032346e0d6f&amp;token=vmt1cIs9GeGTHpSHRt%2BXMHdqpUky2Bv2fgRPP8SbsV9QHBq4G8%2BK2DAPiPXsW%2BHh&amp;tracelog=cps&amp;clickid=48525b1ef49df2c122f70be6fb3b72d6&amp;targetUrl=https%3A%2F%2Fs.click.1688.com%2Ft%3F
</t>
  </si>
  <si>
    <t>羊羔绒束脚-纯黑
L　x 4
XL x 7
2XL x 4
3XL x 3
4XL x 3</t>
  </si>
  <si>
    <t>【遅延】出荷されていた、11/20CiLEL南通に到着予定です。（11/18 11/19確認）
4XL x 3枚在庫切れ、再入荷未定です。</t>
  </si>
  <si>
    <t>サイズシール貼り。不透明袋・OPP袋に汚れ破れがある際には新しいOPP袋に交換して欲しいです。</t>
  </si>
  <si>
    <t xml:space="preserve">https://detail.1688.com/offer/817054222021.html?kj_agent_plugin=aliprice&amp;fromkv=xytTrace:2127a84b17613190773972208e10d9&amp;token=%2Fdx96GlaHzcXSoLqLFtKjgArBSlVTIl5cQC13sHLtE1i%2FQQiiucypVgrIygXXVck
https://detail.1688.com/offer/737162753207.html?kj_agent_plugin=aliprice&amp;fromkv=xytTrace:212b9de517613191092452256e0ecd&amp;token=YQYgVXcibZk5XdN4ImQ59iDHy0%2Fksx%2FSWvUQ9C%2FT9m3yIq5fRb3okwfTx3Tg%2FQSQ
</t>
  </si>
  <si>
    <t>灰色【加绒】
38-39【适合37-38】 x 5
40-41【适合39-40】 x 5
42-43【适合41-42】 x 7
44-45【适合43-44】 x 5</t>
  </si>
  <si>
    <t xml:space="preserve">到着：10
未着：
42-43【适合41-42】 x 7
44-45【适合43-44】 x 5→到着
</t>
  </si>
  <si>
    <t>サイズシール貼り。靴箱は廃棄して下さい。OPP袋入れ替え（同じサイズで1組ずつ、コンパクトになるようOPP袋に入れてください）。商品が中で動かないようにきっちりOPP袋に封入してほしい。</t>
  </si>
  <si>
    <t xml:space="preserve">https://detail.1688.com/offer/666579127761.html?kj_agent_plugin=aliprice&amp;fromkv=xytTrace:2154647417614106368112595e0e03&amp;token=07wD2kngNeFeaU9GIZkFqa4JayA8vYHKv2lhlC37L5Tbv%2BB%2FGBgpFdV8E8VIKlhJ
https://detail.1688.com/offer/731311023738.html?kj_agent_plugin=aliprice&amp;fromkv=xytTrace:21360a2e17614147734883516e0caf&amp;token=rJWGhm9%2FiBUUVciWGxkAhOHfyPfDC8LXbBliZ8FF50AVR7CrvAyuW3mLTcjCq%2B52
</t>
  </si>
  <si>
    <t xml:space="preserve">黑色CWA004
36 x 4
38 x 4
39 x 4
40 x 6
</t>
  </si>
  <si>
    <t>単価19.9元⇒ 19.5元に修正しました、</t>
  </si>
  <si>
    <t xml:space="preserve">https://detail.1688.com/offer/727871735268.html?kj_agent_plugin=aliprice&amp;fromkv=xytTrace:212bc12a17558834780305300e0ebf&amp;token=qZ23uDxRxHMRZDYb4yeKIhtVniJS55%2FJDCwdFKkyko1JX3ncMqg0hKg4BWxggxYT
https://detail.1688.com/offer/816988584820.html?kj_agent_plugin=aliprice&amp;fromkv=xytTrace:212bc12a17558834780305300e0ebf&amp;token=GuS0T86Qfmj81B7Yh0B9xhtVniJS55%2FJDCwdFKkyko1JX3ncMqg0hKg4BWxggxYT
</t>
  </si>
  <si>
    <t>白色
36 x 4
38 x 6
39 x 3
40 x 6
41 x 2
黑色
36 x 6
38 x 2
40 x 2
41 x 2</t>
  </si>
  <si>
    <t>単価25元⇒26元に修正しました、
【遅延】出荷されていた、11月19日CiLEL南通に到着予定です。（11/18 11/19確認）</t>
  </si>
  <si>
    <t>・靴箱は廃棄して下さい。
・OPP袋入れ替え（同じサイズで1組ずつ、コンパクトになるようOPP袋に入れてください）
・商品が中で動かないようにきっちりOPP袋に封入してほしい。</t>
  </si>
  <si>
    <t xml:space="preserve">https://detail.1688.com/offer/638912837097.html?spm=a26352.b28411319.offerlist.88.19c81e62CIl3Ye
https://detail.1688.com/offer/678611488740.html?kj_agent_plugin=aliprice&amp;fromkv=xytTrace:2166083e17398043125385450e1a55&amp;token=2CzZuX6%2FCSFg7TaHF3Krs1PfQAbfrwLXKkhK88hUlMvlBySyywepQAPDrXLo3dkV
</t>
  </si>
  <si>
    <t xml:space="preserve">白色
M x 8
L x 6
XL x 6
2XL x 7
</t>
  </si>
  <si>
    <t>検品修繕</t>
  </si>
  <si>
    <t>全数検品に変更します。
これまでにも、
いくつか汚れた商品が入っており、
こちらで廃棄しておりました。
汚れがある商品の写真を添付します。
ご参考のほど、どうぞよろしくお願いします。</t>
  </si>
  <si>
    <t xml:space="preserve">https://detail.1688.com/offer/682579341007.html?kj_agent_plugin=aliprice&amp;fromkv=xytTrace:2132815517618324749361917e0e43&amp;token=J2%2BkuxnjdJZq9Jd0mrB8FAL5X26MUs1NxkS0isrFPX3fU6kaEpoMCYaLzPlbR4Qg
</t>
  </si>
  <si>
    <t xml:space="preserve">【加绒】黑色-加长
M x 4
L x 5
XL x 7 
XXL x 4
</t>
  </si>
  <si>
    <t>到着：5
未着：
M x 4
XL x 7 
XXL x 4
⇒到着</t>
  </si>
  <si>
    <t>https://detail.1688.com/offer/693998041886.html?kj_agent_plugin=aliprice&amp;fromkv=xytTrace:2166083e17541270644673156e0e9f&amp;token=y%2FCjeqTuGiKC3xJJqxgy4wcWg5HEDRjYHISJqD6Gj4iGpPe4VBdspaPdiTukCzMS
https://detail.1688.com/offer/695026696760.html?kj_agent_plugin=aliprice&amp;fromkv=xytTrace:2166083e17541270644673156e0e9f&amp;token=Ekuuu%2BEkTeZuRuqomrgMQAcWg5HEDRjYHISJqD6Gj4iGpPe4VBdspaPdiTukCzMS
https://detail.1688.com/offer/695872511559.html?kj_agent_plugin=aliprice&amp;fromkv=xytTrace:2166083e17541270644673156e0e9f&amp;token=CuMg1psQ9j52xaELjroxuAcWg5HEDRjYHISJqD6Gj4iGpPe4VBdspaPdiTukCzMS</t>
  </si>
  <si>
    <t>黑色
x 5</t>
  </si>
  <si>
    <t>不透明袋・OPP袋に汚れ破れがある際には新しいOPP袋に交換して欲しいです。</t>
  </si>
  <si>
    <t xml:space="preserve">https://detail.1688.com/offer/594479770977.html?kj_agent_plugin=aliprice&amp;fromkv=xytTrace:21089cdf17360052771156522e21c3&amp;token=FKd3eM6P42dxa0zhM8InSixL9%2FQnaURDn%2B16SgywWXhzNLvf4QV202SHdNapXcMN
https://detail.1688.com/offer/630073125884.html?kj_agent_plugin=aliprice&amp;fromkv=xytTrace:21089cdf17360052771156522e21c3&amp;token=0sHc94DuVk3Fjdgl%2FF3KrCxL9%2FQnaURDn%2B16SgywWXhzNLvf4QV202SHdNapXcMN
</t>
  </si>
  <si>
    <t>黑色→025910黑色　手配
XL x 5
3XL x 2
4XL x 3
5XL x 3</t>
  </si>
  <si>
    <t>2025/11/13</t>
  </si>
  <si>
    <t>【11/12保留】 念のために、ご希望のは「025910黑色」でしょうか？
→025910黑色　手配
【遅延】出荷されていた、11/19CiLEL南通に到着予定です。（11/18確認）</t>
  </si>
  <si>
    <t xml:space="preserve">https://detail.1688.com/offer/729868735319.html?kj_agent_plugin=aliprice&amp;fromkv=xytTrace:21078f4d17513875132848546e0d5f&amp;token=7wtsFi3Znn4%2Bty7V5z5hG%2FnzaPCYHQBNdxQTD9WegFPDe3hAlevpFRbw1IhHsA7U
https://detail.1688.com/offer/729570785278.html?spm=a261y.7663282.351369130448463.1.44c96b9abzYjie&amp;sk=consign
</t>
  </si>
  <si>
    <t>黑色
40-41 x 6
42-43 x 6
44-45 x 6</t>
  </si>
  <si>
    <t xml:space="preserve">単価9.48元⇒10.48元に修正しました、
到着：6+6
未着：
黑色44-45 x 6   →到着
</t>
  </si>
  <si>
    <t>OPP袋入れ替え（同じサイズで1組ずつ、コンパクトになるようOPP袋に入れてください）
靴箱は廃棄して下さい。
商品が中で動かないようにきっちりOPP袋に封入してほしい。</t>
  </si>
  <si>
    <t>https://detail.1688.com/offer/778139881388.html?kj_agent_plugin=aliprice&amp;fromkv=xytTrace:0b0fdc4f17623610571838197e0e98&amp;token=aYou7z9X9mRwc63mhTsxKQsZoAX2yvf0dt%2FO6DjF9cKEWBWMcSS6%2BsgKCKGZ1mIE
https://detail.1688.com/offer/916520823805.html?kj_agent_plugin=aliprice&amp;fromkv=xytTrace:21360a2e17623615890408267e0cd1&amp;token=NWTBAsK11lKhS8Eg6Qb03iGvabtrZtRumuF00t5GBQpljkk7ln3ueG6rd48hlHMb
https://detail.1688.com/offer/917857977476.html?kj_agent_plugin=aliprice&amp;fromkv=xytTrace:21360a2e17623615890408267e0cd1&amp;token=9Tp384gKsBUejvb8ESm2eyGvabtrZtRumuF00t5GBQpljkk7ln3ueG6rd48hlHMb</t>
  </si>
  <si>
    <t>全包男洞洞黑
40/41　x5
42/43　x5
44/45　x5</t>
  </si>
  <si>
    <t xml:space="preserve">単価14元⇒13.5元に修正しました、
到着：3+9
未着：
全包男洞洞黑
40/41　x3→到着
---
【遅延】出荷されていた、11月19日CiLEL南通に到着予定です。（11/18確認）
</t>
  </si>
  <si>
    <t>・靴箱は廃棄して下さい。
・OPP袋入れ替え（同じサイズで1組ずつ、コンパクトになるようOPP袋に入れてください）
・OPP袋にサイズシール貼り
・商品が中で動かないようにきっちりOPP袋に封入してほしい。</t>
  </si>
  <si>
    <t xml:space="preserve">https://detail.1688.com/offer/627755114471.html?kj_agent_plugin=aliprice&amp;fromkv=xytTrace:213d7cd717443025950663233e1675&amp;token=I8t4F5%2BRe%2B9VMZM4NiFZRAipUhjLLiuZp1NeIFIZKMbhGCh94Jc%2FcFX%2FPS6RJ3eX
https://detail.1688.com/offer/627488340862.html?kj_agent_plugin=aliprice&amp;fromkv=xytTrace:213d7cd717443025950663233e1675&amp;token=aXe4qZfhNubz5%2BgD0X1jSAipUhjLLiuZp1NeIFIZKMbhGCh94Jc%2FcFX%2FPS6RJ3eX
</t>
  </si>
  <si>
    <t xml:space="preserve">黑色-气质连衣裙
M x 1
L x 1
XL x 1
XXL x 1
卡其色-气质连衣裙
M x 3
L x 3
XL x 3
</t>
  </si>
  <si>
    <t xml:space="preserve">https://detail.1688.com/offer/902573355986.html?kj_agent_plugin=aliprice&amp;fromkv=xytTrace:2166f71a17557070458652703e0f0a&amp;token=RTb9aRGunQYCXvLxNsnFkS9jsqAyhxS1s2uKguiXDKlo9CrOm4OlVEo66W%2BA877D
https://detail.1688.com/offer/883917040399.html?kj_agent_plugin=aliprice&amp;fromkv=xytTrace:2166f71a17557070458652703e0f0a&amp;token=syuwD5ragsMOrIjQp%2FRWei9jsqAyhxS1s2uKguiXDKlo9CrOm4OlVEo66W%2BA877D
</t>
  </si>
  <si>
    <t>黑色
L x 10
XL x 20
2XL x 20
3XL x 5
白色
XL x 10
2XL x 10
3XL x 5</t>
  </si>
  <si>
    <t xml:space="preserve">https://detail.1688.com/offer/678295286376.html?kj_agent_plugin=aliprice&amp;fromkv=xytTrace:2146915b17541037605096549e1181&amp;token=HwWm4xlNy3ZrXDy00DxdxyPYQdHq%2Bx9ifXYGFd41VpbzazQwJ8iZYTkYSA2dyD8y
https://detail.1688.com/offer/679642789023.html?kj_agent_plugin=aliprice&amp;fromkv=xytTrace%3A2146915b17541037605096549e1181&amp;token=gh%2B%2FlaN3bZ0fTg4l4EHVLSPYQdHq%2Bx9ifXYGFd41VpbzazQwJ8iZYTkYSA2dyD8y&amp;tracelog=cps&amp;clickid=a9536b3ddb89a8e1ee18d4e777e11fdd&amp;targetUrl=https%3A%2F%2Fs.click.1688.com%2Ft%3F
</t>
  </si>
  <si>
    <t xml:space="preserve">泡泡米　x10
泡泡黑　x15
</t>
  </si>
  <si>
    <t xml:space="preserve">カバン・トートバッグのOPP袋を捨てて、新しいOPP袋（ピッタリなサイズの袋）に入れ替え。
</t>
  </si>
  <si>
    <t xml:space="preserve">https://detail.1688.com/offer/680574634141.html?kj_agent_plugin=aliprice&amp;fromkv=xytTrace%3A213f867c17627039338453766e0fc0&amp;token=h%2F5wjBY75cM%2FcMpVxY3GLD%2FWbZ7477pkufPyrJKMLPnrWFG1DowWOZBNTD%2BziGbk&amp;tracelog=cps&amp;clickid=f0b882caf8751eb96f684beb78a348c3&amp;targetUrl=https%3A%2F%2Fs.click.1688.com%2Ft%
https://detail.1688.com/offer/700364966200.html?kj_agent_plugin=aliprice&amp;fromkv=xytTrace:213f867c17627039338453766e0fc0&amp;token=KzSN9Q0x%2BVtcwqfOBN0KVz%2FWbZ7477pkufPyrJKMLPnrWFG1DowWOZBNTD%2BziGbk
</t>
  </si>
  <si>
    <t>黑色
M x 6
L x 6
XL x 4
XXL x 4</t>
  </si>
  <si>
    <t xml:space="preserve">https://detail.1688.com/offer/543080199322.html?kj_agent_plugin=aliprice&amp;fromkv=xytTrace:2154647417627003101662304e0f0c&amp;token=iAg9NPXR5E2xZkVB9Mv0MeWycGOL%2B3trE9fDntxYTgEVJ7N9im1mIiJLqoBAUp%2BI
</t>
  </si>
  <si>
    <t xml:space="preserve">黑色 x 15
浅咖 x 6
浅灰 x 6
米驼 x 6
</t>
  </si>
  <si>
    <t xml:space="preserve">0
</t>
  </si>
  <si>
    <t>FT6705-00012-5番
29枚 作業費</t>
  </si>
  <si>
    <t>2025/11/21</t>
  </si>
  <si>
    <t>別途発送</t>
  </si>
  <si>
    <t>　</t>
  </si>
  <si>
    <t>日本円合計</t>
  </si>
  <si>
    <t>1商品あたりの経費（参考）</t>
  </si>
  <si>
    <t>※本シートの金額計算は参考です。</t>
  </si>
  <si>
    <t>※小数点以下は切り上げています</t>
  </si>
</sst>
</file>

<file path=xl/styles.xml><?xml version="1.0" encoding="utf-8"?>
<styleSheet xmlns="http://schemas.openxmlformats.org/spreadsheetml/2006/main" xml:space="preserve">
  <numFmts count="6">
    <numFmt numFmtId="164" formatCode="m&quot;月&quot;d&quot;日&quot;;@"/>
    <numFmt numFmtId="165" formatCode="0_);\(0\)"/>
    <numFmt numFmtId="166" formatCode="&quot;¥&quot;#,##0_);\(&quot;¥&quot;#,##0\)"/>
    <numFmt numFmtId="167" formatCode="0_ "/>
    <numFmt numFmtId="168" formatCode="[$¥-411]#,##0;\-[$¥-411]#,##0"/>
    <numFmt numFmtId="169" formatCode="m&quot;月&quot;d&quot;日&quot;;\-;\-;@"/>
  </numFmts>
  <fonts count="24">
    <font>
      <b val="0"/>
      <i val="0"/>
      <strike val="0"/>
      <u val="none"/>
      <sz val="11"/>
      <color rgb="FF000000"/>
      <name val="ＭＳ Ｐゴシック"/>
    </font>
    <font>
      <b val="1"/>
      <i val="0"/>
      <strike val="0"/>
      <u val="single"/>
      <sz val="14"/>
      <color rgb="FF000000"/>
      <name val="ＭＳ Ｐゴシック"/>
    </font>
    <font>
      <b val="1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2"/>
      <color rgb="FF000000"/>
      <name val="ＭＳ Ｐゴシック"/>
    </font>
    <font>
      <b val="1"/>
      <i val="0"/>
      <strike val="0"/>
      <u val="none"/>
      <sz val="12"/>
      <color rgb="FF000000"/>
      <name val="ＭＳ Ｐゴシック"/>
    </font>
    <font>
      <b val="1"/>
      <i val="0"/>
      <strike val="0"/>
      <u val="none"/>
      <sz val="10"/>
      <color rgb="FF000000"/>
      <name val="ＭＳ Ｐゴシック"/>
    </font>
    <font>
      <b val="1"/>
      <i val="0"/>
      <strike val="0"/>
      <u val="none"/>
      <sz val="12"/>
      <color rgb="FFFF0000"/>
      <name val="ＭＳ Ｐゴシック"/>
    </font>
    <font>
      <b val="1"/>
      <i val="0"/>
      <strike val="0"/>
      <u val="none"/>
      <sz val="18"/>
      <color rgb="FF000000"/>
      <name val="ＭＳ Ｐゴシック"/>
    </font>
    <font>
      <b val="1"/>
      <i val="0"/>
      <strike val="0"/>
      <u val="none"/>
      <sz val="14"/>
      <color rgb="FF000000"/>
      <name val="ＭＳ Ｐゴシック"/>
    </font>
    <font>
      <b val="1"/>
      <i val="0"/>
      <strike val="0"/>
      <u val="single"/>
      <sz val="20"/>
      <color rgb="FF000000"/>
      <name val="ＭＳ Ｐゴシック"/>
    </font>
    <font>
      <b val="1"/>
      <i val="0"/>
      <strike val="0"/>
      <u val="none"/>
      <sz val="14"/>
      <color rgb="FFFF0000"/>
      <name val="ＭＳ Ｐゴシック"/>
    </font>
    <font>
      <b val="0"/>
      <i val="0"/>
      <strike val="0"/>
      <u val="none"/>
      <sz val="14"/>
      <color rgb="FF000000"/>
      <name val="ＭＳ Ｐゴシック"/>
    </font>
    <font>
      <b val="0"/>
      <i val="0"/>
      <strike val="0"/>
      <u val="none"/>
      <sz val="11"/>
      <color rgb="FFFFFFFF"/>
      <name val="ＭＳ Ｐゴシック"/>
    </font>
    <font>
      <b val="1"/>
      <i val="0"/>
      <strike val="0"/>
      <u val="none"/>
      <sz val="26"/>
      <color rgb="FF000000"/>
      <name val="ＭＳ Ｐゴシック"/>
    </font>
    <font>
      <b val="1"/>
      <i val="0"/>
      <strike val="0"/>
      <u val="none"/>
      <sz val="20"/>
      <color rgb="FF000000"/>
      <name val="ＭＳ Ｐゴシック"/>
    </font>
    <font>
      <b val="0"/>
      <i val="0"/>
      <strike val="0"/>
      <u val="single"/>
      <sz val="14"/>
      <color rgb="FF800080"/>
      <name val="ＭＳ Ｐゴシック"/>
    </font>
    <font>
      <b val="0"/>
      <i val="0"/>
      <strike val="0"/>
      <u val="single"/>
      <sz val="14"/>
      <color rgb="FF0000FF"/>
      <name val="ＭＳ Ｐゴシック"/>
    </font>
    <font>
      <b val="1"/>
      <i val="0"/>
      <strike val="0"/>
      <u val="none"/>
      <sz val="14"/>
      <color rgb="FFFFFFFF"/>
      <name val="ＭＳ Ｐゴシック"/>
    </font>
    <font>
      <b val="1"/>
      <i val="0"/>
      <strike val="0"/>
      <u val="none"/>
      <sz val="16"/>
      <color rgb="FF000000"/>
      <name val="ＭＳ Ｐゴシック"/>
    </font>
    <font>
      <b val="1"/>
      <i val="0"/>
      <strike val="0"/>
      <u val="single"/>
      <sz val="18"/>
      <color rgb="FF000000"/>
      <name val="ＭＳ Ｐゴシック"/>
    </font>
    <font>
      <b val="0"/>
      <i val="0"/>
      <strike val="0"/>
      <u val="none"/>
      <sz val="18"/>
      <color rgb="FF000000"/>
      <name val="ＭＳ Ｐゴシック"/>
    </font>
    <font>
      <b val="0"/>
      <i val="0"/>
      <strike val="0"/>
      <u val="none"/>
      <sz val="24"/>
      <color rgb="FF000000"/>
      <name val="ＭＳ Ｐゴシック"/>
    </font>
    <font>
      <b val="1"/>
      <i val="0"/>
      <strike val="0"/>
      <u val="none"/>
      <sz val="22"/>
      <color rgb="FFFF0000"/>
      <name val="ＭＳ Ｐゴシック"/>
    </font>
    <font>
      <b val="0"/>
      <i val="0"/>
      <strike val="0"/>
      <u val="single"/>
      <sz val="12"/>
      <color rgb="FF800080"/>
      <name val="ＭＳ Ｐゴシック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FFCC00"/>
        <bgColor rgb="FFFFFFFF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91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164" fillId="2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center" textRotation="0" wrapText="false" shrinkToFit="false"/>
    </xf>
    <xf xfId="0" fontId="3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1">
      <alignment horizontal="left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165" fillId="4" borderId="1" applyFont="1" applyNumberFormat="1" applyFill="1" applyBorder="1" applyAlignment="1">
      <alignment horizontal="center" vertical="center" textRotation="0" wrapText="false" shrinkToFit="false"/>
    </xf>
    <xf xfId="0" fontId="5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164" fillId="4" borderId="1" applyFont="1" applyNumberFormat="1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165" fillId="4" borderId="3" applyFont="1" applyNumberFormat="1" applyFill="1" applyBorder="1" applyAlignment="1">
      <alignment horizontal="center" vertical="center" textRotation="0" wrapText="false" shrinkToFit="false"/>
    </xf>
    <xf xfId="0" fontId="4" numFmtId="164" fillId="4" borderId="3" applyFont="1" applyNumberFormat="1" applyFill="1" applyBorder="1" applyAlignment="1">
      <alignment horizontal="center" vertical="center" textRotation="0" wrapText="false" shrinkToFit="false"/>
    </xf>
    <xf xfId="0" fontId="3" numFmtId="0" fillId="4" borderId="3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tru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4" applyFont="1" applyNumberFormat="0" applyFill="1" applyBorder="1" applyAlignment="1">
      <alignment horizontal="center" vertical="center" textRotation="0" wrapText="tru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true"/>
    </xf>
    <xf xfId="0" fontId="4" numFmtId="164" fillId="5" borderId="1" applyFont="1" applyNumberFormat="1" applyFill="1" applyBorder="1" applyAlignment="1">
      <alignment horizontal="center" vertical="center" textRotation="0" wrapText="false" shrinkToFit="true"/>
    </xf>
    <xf xfId="0" fontId="2" numFmtId="0" fillId="2" borderId="5" applyFont="1" applyNumberFormat="0" applyFill="0" applyBorder="1" applyAlignment="0">
      <alignment horizontal="general" vertical="center" textRotation="0" wrapText="false" shrinkToFit="false"/>
    </xf>
    <xf xfId="0" fontId="6" numFmtId="0" fillId="2" borderId="0" applyFont="1" applyNumberFormat="0" applyFill="0" applyBorder="0" applyAlignment="0">
      <alignment horizontal="general" vertical="center" textRotation="0" wrapText="false" shrinkToFit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164" fillId="2" borderId="0" applyFont="1" applyNumberFormat="1" applyFill="0" applyBorder="0" applyAlignment="1">
      <alignment horizontal="center" vertical="center" textRotation="0" wrapText="false" shrinkToFit="false"/>
    </xf>
    <xf xfId="0" fontId="8" numFmtId="166" fillId="2" borderId="0" applyFont="1" applyNumberFormat="1" applyFill="0" applyBorder="0" applyAlignment="0">
      <alignment horizontal="general" vertical="center" textRotation="0" wrapText="false" shrinkToFit="false"/>
    </xf>
    <xf xfId="0" fontId="2" numFmtId="167" fillId="4" borderId="1" applyFont="1" applyNumberFormat="1" applyFill="1" applyBorder="1" applyAlignment="1">
      <alignment horizontal="center" vertical="center" textRotation="0" wrapText="false" shrinkToFit="tru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9" numFmtId="166" fillId="2" borderId="0" applyFont="1" applyNumberFormat="1" applyFill="0" applyBorder="0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167" fillId="2" borderId="0" applyFont="1" applyNumberFormat="1" applyFill="0" applyBorder="0" applyAlignment="1">
      <alignment horizontal="center" vertical="center" textRotation="0" wrapText="false" shrinkToFit="false"/>
    </xf>
    <xf xfId="0" fontId="10" numFmtId="0" fillId="2" borderId="0" applyFont="1" applyNumberFormat="0" applyFill="0" applyBorder="0" applyAlignment="0">
      <alignment horizontal="general" vertical="center" textRotation="0" wrapText="false" shrinkToFit="false"/>
    </xf>
    <xf xfId="0" fontId="11" numFmtId="0" fillId="2" borderId="0" applyFont="1" applyNumberFormat="0" applyFill="0" applyBorder="0" applyAlignment="0">
      <alignment horizontal="general" vertical="center" textRotation="0" wrapText="false" shrinkToFit="false"/>
    </xf>
    <xf xfId="0" fontId="1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167" fillId="4" borderId="1" applyFont="1" applyNumberFormat="1" applyFill="1" applyBorder="1" applyAlignment="0">
      <alignment horizontal="general" vertical="center" textRotation="0" wrapText="false" shrinkToFit="false"/>
    </xf>
    <xf xfId="0" fontId="8" numFmtId="0" fillId="2" borderId="1" applyFont="1" applyNumberFormat="0" applyFill="0" applyBorder="1" applyAlignment="1">
      <alignment horizontal="center" vertical="center" textRotation="0" wrapText="false" shrinkToFit="false"/>
    </xf>
    <xf xfId="0" fontId="8" numFmtId="0" fillId="2" borderId="1" applyFont="1" applyNumberFormat="0" applyFill="0" applyBorder="1" applyAlignment="1">
      <alignment horizontal="left" vertical="center" textRotation="0" wrapText="true" shrinkToFit="false"/>
    </xf>
    <xf xfId="0" fontId="8" numFmtId="0" fillId="2" borderId="3" applyFont="1" applyNumberFormat="0" applyFill="0" applyBorder="1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13" numFmtId="0" fillId="2" borderId="0" applyFont="1" applyNumberFormat="0" applyFill="0" applyBorder="0" applyAlignment="1">
      <alignment horizontal="center" vertical="center" textRotation="0" wrapText="false" shrinkToFit="false"/>
    </xf>
    <xf xfId="0" fontId="14" numFmtId="0" fillId="2" borderId="0" applyFont="1" applyNumberFormat="0" applyFill="0" applyBorder="0" applyAlignment="1">
      <alignment horizontal="center" vertical="center" textRotation="0" wrapText="false" shrinkToFit="false"/>
    </xf>
    <xf xfId="0" fontId="10" numFmtId="0" fillId="2" borderId="0" applyFont="1" applyNumberFormat="0" applyFill="0" applyBorder="0" applyAlignment="1">
      <alignment horizontal="left" vertical="center" textRotation="0" wrapText="false" shrinkToFit="false"/>
    </xf>
    <xf xfId="0" fontId="9" numFmtId="166" fillId="2" borderId="0" applyFont="1" applyNumberFormat="1" applyFill="0" applyBorder="0" applyAlignment="1">
      <alignment horizontal="center" vertical="center" textRotation="0" wrapText="false" shrinkToFit="false"/>
    </xf>
    <xf xfId="0" fontId="8" numFmtId="164" fillId="2" borderId="0" applyFont="1" applyNumberFormat="1" applyFill="0" applyBorder="0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right" vertical="center" textRotation="0" wrapText="false" shrinkToFit="false"/>
    </xf>
    <xf xfId="0" fontId="7" numFmtId="0" fillId="2" borderId="0" applyFont="1" applyNumberFormat="0" applyFill="0" applyBorder="0" applyAlignment="1">
      <alignment horizontal="right" vertical="center" textRotation="0" wrapText="false" shrinkToFit="true"/>
    </xf>
    <xf xfId="0" fontId="8" numFmtId="0" fillId="2" borderId="0" applyFont="1" applyNumberFormat="0" applyFill="0" applyBorder="0" applyAlignment="0">
      <alignment horizontal="general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15" numFmtId="0" fillId="2" borderId="0" applyFont="1" applyNumberFormat="0" applyFill="0" applyBorder="0" applyAlignment="1">
      <alignment horizontal="center" vertical="center" textRotation="0" wrapText="false" shrinkToFit="true"/>
    </xf>
    <xf xfId="0" fontId="16" numFmtId="0" fillId="2" borderId="0" applyFont="1" applyNumberFormat="0" applyFill="0" applyBorder="0" applyAlignment="1">
      <alignment horizontal="center" vertical="center" textRotation="0" wrapText="false" shrinkToFit="true"/>
    </xf>
    <xf xfId="0" fontId="8" numFmtId="0" fillId="2" borderId="0" applyFont="1" applyNumberFormat="0" applyFill="0" applyBorder="0" applyAlignment="1">
      <alignment horizontal="center" vertical="center" textRotation="0" wrapText="false" shrinkToFit="true"/>
    </xf>
    <xf xfId="0" fontId="2" numFmtId="167" fillId="2" borderId="0" applyFont="1" applyNumberFormat="1" applyFill="0" applyBorder="0" applyAlignment="1">
      <alignment horizontal="center" vertical="center" textRotation="0" wrapText="false" shrinkToFit="true"/>
    </xf>
    <xf xfId="0" fontId="2" numFmtId="167" fillId="2" borderId="0" applyFont="1" applyNumberFormat="1" applyFill="0" applyBorder="0" applyAlignment="0">
      <alignment horizontal="general" vertical="center" textRotation="0" wrapText="false" shrinkToFit="false"/>
    </xf>
    <xf xfId="0" fontId="17" numFmtId="0" fillId="2" borderId="0" applyFont="1" applyNumberFormat="0" applyFill="0" applyBorder="0" applyAlignment="1">
      <alignment horizontal="center" vertical="center" textRotation="0" wrapText="false" shrinkToFit="false"/>
    </xf>
    <xf xfId="0" fontId="17" numFmtId="0" fillId="2" borderId="5" applyFont="1" applyNumberFormat="0" applyFill="0" applyBorder="1" applyAlignment="1">
      <alignment horizontal="center" vertical="center" textRotation="0" wrapText="false" shrinkToFit="false"/>
    </xf>
    <xf xfId="0" fontId="18" numFmtId="0" fillId="2" borderId="0" applyFont="1" applyNumberFormat="0" applyFill="0" applyBorder="0" applyAlignment="0">
      <alignment horizontal="general" vertical="center" textRotation="0" wrapText="false" shrinkToFit="false"/>
    </xf>
    <xf xfId="0" fontId="19" numFmtId="0" fillId="2" borderId="0" applyFont="1" applyNumberFormat="0" applyFill="0" applyBorder="0" applyAlignment="1">
      <alignment horizontal="left" vertical="center" textRotation="0" wrapText="false" shrinkToFit="false"/>
    </xf>
    <xf xfId="0" fontId="7" numFmtId="0" fillId="2" borderId="0" applyFont="1" applyNumberFormat="0" applyFill="0" applyBorder="0" applyAlignment="1">
      <alignment horizontal="right" vertical="center" textRotation="0" wrapText="false" shrinkToFit="true"/>
    </xf>
    <xf xfId="0" fontId="8" numFmtId="0" fillId="2" borderId="0" applyFont="1" applyNumberFormat="0" applyFill="0" applyBorder="0" applyAlignment="1">
      <alignment horizontal="left" vertical="bottom" textRotation="0" wrapText="false" shrinkToFit="false"/>
    </xf>
    <xf xfId="0" fontId="8" numFmtId="0" fillId="2" borderId="0" applyFont="1" applyNumberFormat="0" applyFill="0" applyBorder="0" applyAlignment="1">
      <alignment horizontal="general" vertical="bottom" textRotation="0" wrapText="false" shrinkToFit="false"/>
    </xf>
    <xf xfId="0" fontId="8" numFmtId="0" fillId="2" borderId="6" applyFont="1" applyNumberFormat="0" applyFill="0" applyBorder="1" applyAlignment="1">
      <alignment horizontal="center" vertical="center" textRotation="0" wrapText="false" shrinkToFit="true"/>
    </xf>
    <xf xfId="0" fontId="8" numFmtId="0" fillId="5" borderId="7" applyFont="1" applyNumberFormat="0" applyFill="1" applyBorder="1" applyAlignment="1">
      <alignment horizontal="center" vertical="center" textRotation="0" wrapText="false" shrinkToFit="true"/>
    </xf>
    <xf xfId="0" fontId="8" numFmtId="0" fillId="2" borderId="7" applyFont="1" applyNumberFormat="0" applyFill="0" applyBorder="1" applyAlignment="1">
      <alignment horizontal="center" vertical="center" textRotation="0" wrapText="false" shrinkToFit="true"/>
    </xf>
    <xf xfId="0" fontId="8" numFmtId="0" fillId="5" borderId="6" applyFont="1" applyNumberFormat="0" applyFill="1" applyBorder="1" applyAlignment="1">
      <alignment horizontal="center" vertical="center" textRotation="0" wrapText="false" shrinkToFit="true"/>
    </xf>
    <xf xfId="0" fontId="1" numFmtId="14" fillId="2" borderId="0" applyFont="1" applyNumberFormat="1" applyFill="0" applyBorder="0" applyAlignment="1">
      <alignment horizontal="general" vertical="center" textRotation="0" wrapText="false" shrinkToFit="tru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2" numFmtId="49" fillId="4" borderId="1" applyFont="1" applyNumberFormat="1" applyFill="1" applyBorder="1" applyAlignment="1">
      <alignment horizontal="center" vertical="center" textRotation="0" wrapText="false" shrinkToFit="false"/>
    </xf>
    <xf xfId="0" fontId="8" numFmtId="0" fillId="4" borderId="3" applyFont="1" applyNumberFormat="0" applyFill="1" applyBorder="1" applyAlignment="1">
      <alignment horizontal="center" vertical="center" textRotation="0" wrapText="false" shrinkToFit="false"/>
    </xf>
    <xf xfId="0" fontId="8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>
      <alignment horizontal="right" vertical="center" textRotation="0" wrapText="false" shrinkToFit="true"/>
    </xf>
    <xf xfId="0" fontId="4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20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right" vertical="center" textRotation="0" wrapText="false" shrinkToFit="false"/>
    </xf>
    <xf xfId="0" fontId="13" numFmtId="0" fillId="2" borderId="0" applyFont="1" applyNumberFormat="0" applyFill="0" applyBorder="0" applyAlignment="1">
      <alignment horizontal="center" vertical="center" textRotation="0" wrapText="false" shrinkToFit="false"/>
    </xf>
    <xf xfId="0" fontId="21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168" fillId="2" borderId="4" applyFont="1" applyNumberFormat="1" applyFill="0" applyBorder="1" applyAlignment="1">
      <alignment horizontal="center" vertical="center" textRotation="0" wrapText="false" shrinkToFit="false"/>
    </xf>
    <xf xfId="0" fontId="8" numFmtId="168" fillId="2" borderId="8" applyFont="1" applyNumberFormat="1" applyFill="0" applyBorder="1" applyAlignment="1">
      <alignment horizontal="center" vertical="center" textRotation="0" wrapText="false" shrinkToFit="false"/>
    </xf>
    <xf xfId="0" fontId="8" numFmtId="168" fillId="2" borderId="2" applyFont="1" applyNumberFormat="1" applyFill="0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1">
      <alignment horizontal="center" vertical="center" textRotation="0" wrapText="false" shrinkToFit="false"/>
    </xf>
    <xf xfId="0" fontId="0" numFmtId="0" fillId="2" borderId="8" applyFont="0" applyNumberFormat="0" applyFill="0" applyBorder="1" applyAlignment="1">
      <alignment horizontal="center" vertical="center" textRotation="0" wrapText="false" shrinkToFit="false"/>
    </xf>
    <xf xfId="0" fontId="0" numFmtId="0" fillId="2" borderId="2" applyFont="0" applyNumberFormat="0" applyFill="0" applyBorder="1" applyAlignment="1">
      <alignment horizontal="center" vertical="center" textRotation="0" wrapText="false" shrinkToFit="false"/>
    </xf>
    <xf xfId="0" fontId="8" numFmtId="0" fillId="5" borderId="4" applyFont="1" applyNumberFormat="0" applyFill="1" applyBorder="1" applyAlignment="1">
      <alignment horizontal="center" vertical="center" textRotation="0" wrapText="false" shrinkToFit="true"/>
    </xf>
    <xf xfId="0" fontId="8" numFmtId="0" fillId="5" borderId="8" applyFont="1" applyNumberFormat="0" applyFill="1" applyBorder="1" applyAlignment="1">
      <alignment horizontal="center" vertical="center" textRotation="0" wrapText="false" shrinkToFit="true"/>
    </xf>
    <xf xfId="0" fontId="8" numFmtId="0" fillId="5" borderId="2" applyFont="1" applyNumberFormat="0" applyFill="1" applyBorder="1" applyAlignment="1">
      <alignment horizontal="center" vertical="center" textRotation="0" wrapText="false" shrinkToFit="true"/>
    </xf>
    <xf xfId="0" fontId="8" numFmtId="0" fillId="5" borderId="4" applyFont="1" applyNumberFormat="0" applyFill="1" applyBorder="1" applyAlignment="1">
      <alignment horizontal="center" vertical="center" textRotation="0" wrapText="false" shrinkToFit="false"/>
    </xf>
    <xf xfId="0" fontId="8" numFmtId="0" fillId="5" borderId="8" applyFont="1" applyNumberFormat="0" applyFill="1" applyBorder="1" applyAlignment="1">
      <alignment horizontal="center" vertical="center" textRotation="0" wrapText="false" shrinkToFit="false"/>
    </xf>
    <xf xfId="0" fontId="8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center" textRotation="0" wrapText="false" shrinkToFit="false"/>
    </xf>
    <xf xfId="0" fontId="4" numFmtId="0" fillId="2" borderId="8" applyFont="1" applyNumberFormat="0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1">
      <alignment horizontal="general" vertical="top" textRotation="0" wrapText="true" shrinkToFit="false"/>
    </xf>
    <xf xfId="0" fontId="0" numFmtId="0" fillId="2" borderId="8" applyFont="0" applyNumberFormat="0" applyFill="0" applyBorder="1" applyAlignment="1">
      <alignment horizontal="general" vertical="top" textRotation="0" wrapText="true" shrinkToFit="false"/>
    </xf>
    <xf xfId="0" fontId="0" numFmtId="0" fillId="2" borderId="2" applyFont="0" applyNumberFormat="0" applyFill="0" applyBorder="1" applyAlignment="1">
      <alignment horizontal="general" vertical="top" textRotation="0" wrapText="true" shrinkToFit="false"/>
    </xf>
    <xf xfId="0" fontId="3" numFmtId="0" fillId="2" borderId="2" applyFont="1" applyNumberFormat="0" applyFill="0" applyBorder="1" applyAlignment="1">
      <alignment horizontal="center" vertical="center" textRotation="0" wrapText="true" shrinkToFit="false"/>
    </xf>
    <xf xfId="0" fontId="4" numFmtId="0" fillId="4" borderId="3" applyFont="1" applyNumberFormat="0" applyFill="1" applyBorder="1" applyAlignment="1">
      <alignment horizontal="center" vertical="center" textRotation="0" wrapText="true" shrinkToFit="false"/>
    </xf>
    <xf xfId="0" fontId="0" numFmtId="0" fillId="2" borderId="9" applyFont="0" applyNumberFormat="0" applyFill="0" applyBorder="1" applyAlignment="1">
      <alignment horizontal="center" vertical="center" textRotation="0" wrapText="false" shrinkToFit="false"/>
    </xf>
    <xf xfId="0" fontId="0" numFmtId="0" fillId="2" borderId="9" applyFont="0" applyNumberFormat="0" applyFill="0" applyBorder="1" applyAlignment="0">
      <alignment horizontal="general" vertical="center" textRotation="0" wrapText="false" shrinkToFit="false"/>
    </xf>
    <xf xfId="0" fontId="0" numFmtId="0" fillId="2" borderId="10" applyFont="0" applyNumberFormat="0" applyFill="0" applyBorder="1" applyAlignment="1">
      <alignment horizontal="general" vertical="center" textRotation="0" wrapText="true" shrinkToFit="false"/>
    </xf>
    <xf xfId="0" fontId="0" numFmtId="0" fillId="2" borderId="9" applyFont="0" applyNumberFormat="0" applyFill="0" applyBorder="1" applyAlignment="1">
      <alignment horizontal="general" vertical="center" textRotation="0" wrapText="true" shrinkToFit="false"/>
    </xf>
    <xf xfId="0" fontId="0" numFmtId="0" fillId="2" borderId="11" applyFont="0" applyNumberFormat="0" applyFill="0" applyBorder="1" applyAlignment="1">
      <alignment horizontal="general" vertical="center" textRotation="0" wrapText="true" shrinkToFit="false"/>
    </xf>
    <xf xfId="0" fontId="0" numFmtId="0" fillId="2" borderId="12" applyFont="0" applyNumberFormat="0" applyFill="0" applyBorder="1" applyAlignment="1">
      <alignment horizontal="general" vertical="center" textRotation="0" wrapText="true" shrinkToFit="false"/>
    </xf>
    <xf xfId="0" fontId="0" numFmtId="0" fillId="2" borderId="5" applyFont="0" applyNumberFormat="0" applyFill="0" applyBorder="1" applyAlignment="1">
      <alignment horizontal="general" vertical="center" textRotation="0" wrapText="true" shrinkToFit="false"/>
    </xf>
    <xf xfId="0" fontId="0" numFmtId="0" fillId="2" borderId="13" applyFont="0" applyNumberFormat="0" applyFill="0" applyBorder="1" applyAlignment="1">
      <alignment horizontal="general" vertical="center" textRotation="0" wrapText="true" shrinkToFit="false"/>
    </xf>
    <xf xfId="0" fontId="0" numFmtId="0" fillId="4" borderId="10" applyFont="0" applyNumberFormat="0" applyFill="1" applyBorder="1" applyAlignment="1">
      <alignment horizontal="general" vertical="center" textRotation="0" wrapText="true" shrinkToFit="false"/>
    </xf>
    <xf xfId="0" fontId="0" numFmtId="0" fillId="4" borderId="9" applyFont="0" applyNumberFormat="0" applyFill="1" applyBorder="1" applyAlignment="1">
      <alignment horizontal="general" vertical="center" textRotation="0" wrapText="true" shrinkToFit="false"/>
    </xf>
    <xf xfId="0" fontId="0" numFmtId="0" fillId="4" borderId="11" applyFont="0" applyNumberFormat="0" applyFill="1" applyBorder="1" applyAlignment="1">
      <alignment horizontal="general" vertical="center" textRotation="0" wrapText="true" shrinkToFit="false"/>
    </xf>
    <xf xfId="0" fontId="0" numFmtId="0" fillId="4" borderId="12" applyFont="0" applyNumberFormat="0" applyFill="1" applyBorder="1" applyAlignment="1">
      <alignment horizontal="general" vertical="center" textRotation="0" wrapText="true" shrinkToFit="false"/>
    </xf>
    <xf xfId="0" fontId="0" numFmtId="0" fillId="4" borderId="5" applyFont="0" applyNumberFormat="0" applyFill="1" applyBorder="1" applyAlignment="1">
      <alignment horizontal="general" vertical="center" textRotation="0" wrapText="true" shrinkToFit="false"/>
    </xf>
    <xf xfId="0" fontId="0" numFmtId="0" fillId="4" borderId="13" applyFont="0" applyNumberFormat="0" applyFill="1" applyBorder="1" applyAlignment="1">
      <alignment horizontal="general" vertical="center" textRotation="0" wrapText="true" shrinkToFit="false"/>
    </xf>
    <xf xfId="0" fontId="18" numFmtId="164" fillId="4" borderId="14" applyFont="1" applyNumberFormat="1" applyFill="1" applyBorder="1" applyAlignment="1">
      <alignment horizontal="center" vertical="center" textRotation="0" wrapText="false" shrinkToFit="false"/>
    </xf>
    <xf xfId="0" fontId="18" numFmtId="164" fillId="4" borderId="15" applyFont="1" applyNumberFormat="1" applyFill="1" applyBorder="1" applyAlignment="1">
      <alignment horizontal="center" vertical="center" textRotation="0" wrapText="false" shrinkToFit="false"/>
    </xf>
    <xf xfId="0" fontId="8" numFmtId="0" fillId="4" borderId="16" applyFont="1" applyNumberFormat="0" applyFill="1" applyBorder="1" applyAlignment="1">
      <alignment horizontal="center" vertical="center" textRotation="0" wrapText="false" shrinkToFit="false"/>
    </xf>
    <xf xfId="0" fontId="8" numFmtId="0" fillId="4" borderId="17" applyFont="1" applyNumberFormat="0" applyFill="1" applyBorder="1" applyAlignment="1">
      <alignment horizontal="center" vertical="center" textRotation="0" wrapText="false" shrinkToFit="false"/>
    </xf>
    <xf xfId="0" fontId="8" numFmtId="0" fillId="4" borderId="17" applyFont="1" applyNumberFormat="0" applyFill="1" applyBorder="1" applyAlignment="1">
      <alignment horizontal="center" vertical="center" textRotation="0" wrapText="false" shrinkToFit="false"/>
    </xf>
    <xf xfId="0" fontId="18" numFmtId="0" fillId="5" borderId="18" applyFont="1" applyNumberFormat="0" applyFill="1" applyBorder="1" applyAlignment="1">
      <alignment horizontal="center" vertical="center" textRotation="0" wrapText="false" shrinkToFit="false"/>
    </xf>
    <xf xfId="0" fontId="18" numFmtId="0" fillId="5" borderId="19" applyFont="1" applyNumberFormat="0" applyFill="1" applyBorder="1" applyAlignment="1">
      <alignment horizontal="center" vertical="center" textRotation="0" wrapText="false" shrinkToFit="false"/>
    </xf>
    <xf xfId="0" fontId="8" numFmtId="0" fillId="4" borderId="19" applyFont="1" applyNumberFormat="0" applyFill="1" applyBorder="1" applyAlignment="1">
      <alignment horizontal="center" vertical="center" textRotation="0" wrapText="false" shrinkToFit="false"/>
    </xf>
    <xf xfId="0" fontId="8" numFmtId="0" fillId="4" borderId="14" applyFont="1" applyNumberFormat="0" applyFill="1" applyBorder="1" applyAlignment="1">
      <alignment horizontal="center" vertical="center" textRotation="0" wrapText="false" shrinkToFit="false"/>
    </xf>
    <xf xfId="0" fontId="8" numFmtId="167" fillId="4" borderId="20" applyFont="1" applyNumberFormat="1" applyFill="1" applyBorder="1" applyAlignment="1">
      <alignment horizontal="center" vertical="center" textRotation="0" wrapText="false" shrinkToFit="false"/>
    </xf>
    <xf xfId="0" fontId="8" numFmtId="167" fillId="4" borderId="21" applyFont="1" applyNumberFormat="1" applyFill="1" applyBorder="1" applyAlignment="1">
      <alignment horizontal="center" vertical="center" textRotation="0" wrapText="false" shrinkToFit="false"/>
    </xf>
    <xf xfId="0" fontId="2" numFmtId="167" fillId="4" borderId="4" applyFont="1" applyNumberFormat="1" applyFill="1" applyBorder="1" applyAlignment="0">
      <alignment horizontal="general" vertical="center" textRotation="0" wrapText="false" shrinkToFit="false"/>
    </xf>
    <xf xfId="0" fontId="0" numFmtId="0" fillId="2" borderId="2" applyFont="0" applyNumberFormat="0" applyFill="0" applyBorder="1" applyAlignment="0">
      <alignment horizontal="general" vertical="center" textRotation="0" wrapText="false" shrinkToFit="false"/>
    </xf>
    <xf xfId="0" fontId="14" numFmtId="164" fillId="2" borderId="0" applyFont="1" applyNumberFormat="1" applyFill="0" applyBorder="0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>
      <alignment horizontal="right" vertical="center" textRotation="0" wrapText="false" shrinkToFit="true"/>
    </xf>
    <xf xfId="0" fontId="22" numFmtId="0" fillId="2" borderId="16" applyFont="1" applyNumberFormat="0" applyFill="0" applyBorder="1" applyAlignment="1">
      <alignment horizontal="center" vertical="center" textRotation="0" wrapText="false" shrinkToFit="false"/>
    </xf>
    <xf xfId="0" fontId="22" numFmtId="0" fillId="2" borderId="22" applyFont="1" applyNumberFormat="0" applyFill="0" applyBorder="1" applyAlignment="1">
      <alignment horizontal="center" vertical="center" textRotation="0" wrapText="false" shrinkToFit="false"/>
    </xf>
    <xf xfId="0" fontId="8" numFmtId="164" fillId="2" borderId="0" applyFont="1" applyNumberFormat="1" applyFill="0" applyBorder="0" applyAlignment="1">
      <alignment horizontal="center" vertical="center" textRotation="0" wrapText="false" shrinkToFit="false"/>
    </xf>
    <xf xfId="0" fontId="1" numFmtId="169" fillId="4" borderId="0" applyFont="1" applyNumberFormat="1" applyFill="1" applyBorder="0" applyAlignment="1">
      <alignment horizontal="center" vertical="center" textRotation="0" wrapText="false" shrinkToFit="false"/>
    </xf>
    <xf xfId="0" fontId="14" numFmtId="166" fillId="2" borderId="0" applyFont="1" applyNumberFormat="1" applyFill="0" applyBorder="0" applyAlignment="1">
      <alignment horizontal="left" vertical="center" textRotation="0" wrapText="false" shrinkToFit="true"/>
    </xf>
    <xf xfId="0" fontId="9" numFmtId="166" fillId="2" borderId="0" applyFont="1" applyNumberFormat="1" applyFill="0" applyBorder="0" applyAlignment="1">
      <alignment horizontal="center" vertical="center" textRotation="0" wrapText="false" shrinkToFit="false"/>
    </xf>
    <xf xfId="0" fontId="8" numFmtId="167" fillId="2" borderId="9" applyFont="1" applyNumberFormat="1" applyFill="0" applyBorder="1" applyAlignment="1">
      <alignment horizontal="center" vertical="center" textRotation="0" wrapText="false" shrinkToFit="true"/>
    </xf>
    <xf xfId="0" fontId="11" numFmtId="0" fillId="2" borderId="9" applyFont="1" applyNumberFormat="0" applyFill="0" applyBorder="1" applyAlignment="1">
      <alignment horizontal="center" vertical="center" textRotation="0" wrapText="false" shrinkToFit="true"/>
    </xf>
    <xf xfId="0" fontId="8" numFmtId="167" fillId="4" borderId="23" applyFont="1" applyNumberFormat="1" applyFill="1" applyBorder="1" applyAlignment="1">
      <alignment horizontal="center" vertical="center" textRotation="0" wrapText="false" shrinkToFit="false"/>
    </xf>
    <xf xfId="0" fontId="8" numFmtId="167" fillId="4" borderId="10" applyFont="1" applyNumberFormat="1" applyFill="1" applyBorder="1" applyAlignment="1">
      <alignment horizontal="center" vertical="center" textRotation="0" wrapText="false" shrinkToFit="false"/>
    </xf>
    <xf xfId="0" fontId="8" numFmtId="0" fillId="2" borderId="2" applyFont="1" applyNumberFormat="0" applyFill="0" applyBorder="1" applyAlignment="1">
      <alignment horizontal="center" vertical="center" textRotation="0" wrapText="true" shrinkToFit="false"/>
    </xf>
    <xf xfId="0" fontId="8" numFmtId="0" fillId="2" borderId="1" applyFont="1" applyNumberFormat="0" applyFill="0" applyBorder="1" applyAlignment="1">
      <alignment horizontal="center" vertical="center" textRotation="0" wrapText="true" shrinkToFit="false"/>
    </xf>
    <xf xfId="0" fontId="8" numFmtId="164" fillId="4" borderId="4" applyFont="1" applyNumberFormat="1" applyFill="1" applyBorder="1" applyAlignment="1">
      <alignment horizontal="center" vertical="center" textRotation="0" wrapText="false" shrinkToFit="true"/>
    </xf>
    <xf xfId="0" fontId="8" numFmtId="164" fillId="4" borderId="1" applyFont="1" applyNumberFormat="1" applyFill="1" applyBorder="1" applyAlignment="1">
      <alignment horizontal="center" vertical="center" textRotation="0" wrapText="false" shrinkToFit="true"/>
    </xf>
    <xf xfId="0" fontId="8" numFmtId="168" fillId="4" borderId="1" applyFont="1" applyNumberFormat="1" applyFill="1" applyBorder="1" applyAlignment="1">
      <alignment horizontal="center" vertical="center" textRotation="0" wrapText="false" shrinkToFit="false"/>
    </xf>
    <xf xfId="0" fontId="3" numFmtId="0" fillId="2" borderId="2" applyFont="1" applyNumberFormat="0" applyFill="0" applyBorder="1" applyAlignment="1">
      <alignment horizontal="general" vertical="center" textRotation="0" wrapText="true" shrinkToFit="false"/>
    </xf>
    <xf xfId="0" fontId="3" numFmtId="0" fillId="2" borderId="1" applyFont="1" applyNumberFormat="0" applyFill="0" applyBorder="1" applyAlignment="1">
      <alignment horizontal="general" vertical="center" textRotation="0" wrapText="true" shrinkToFit="false"/>
    </xf>
    <xf xfId="0" fontId="8" numFmtId="0" fillId="2" borderId="6" applyFont="1" applyNumberFormat="0" applyFill="0" applyBorder="1" applyAlignment="1">
      <alignment horizontal="center" vertical="center" textRotation="0" wrapText="false" shrinkToFit="true"/>
    </xf>
    <xf xfId="0" fontId="0" numFmtId="0" fillId="2" borderId="24" applyFont="0" applyNumberFormat="0" applyFill="0" applyBorder="1" applyAlignment="0">
      <alignment horizontal="general" vertical="center" textRotation="0" wrapText="false" shrinkToFit="false"/>
    </xf>
    <xf xfId="0" fontId="3" numFmtId="0" fillId="2" borderId="13" applyFont="1" applyNumberFormat="0" applyFill="0" applyBorder="1" applyAlignment="1">
      <alignment horizontal="general" vertical="center" textRotation="0" wrapText="true" shrinkToFit="false"/>
    </xf>
    <xf xfId="0" fontId="3" numFmtId="0" fillId="2" borderId="3" applyFont="1" applyNumberFormat="0" applyFill="0" applyBorder="1" applyAlignment="1">
      <alignment horizontal="general" vertical="center" textRotation="0" wrapText="true" shrinkToFit="false"/>
    </xf>
    <xf xfId="0" fontId="4" numFmtId="0" fillId="5" borderId="11" applyFont="1" applyNumberFormat="0" applyFill="1" applyBorder="1" applyAlignment="1">
      <alignment horizontal="center" vertical="center" textRotation="0" wrapText="true" shrinkToFit="false"/>
    </xf>
    <xf xfId="0" fontId="4" numFmtId="0" fillId="5" borderId="23" applyFont="1" applyNumberFormat="0" applyFill="1" applyBorder="1" applyAlignment="1">
      <alignment horizontal="center" vertical="center" textRotation="0" wrapText="true" shrinkToFit="false"/>
    </xf>
    <xf xfId="0" fontId="8" numFmtId="0" fillId="5" borderId="1" applyFont="1" applyNumberFormat="0" applyFill="1" applyBorder="1" applyAlignment="1">
      <alignment horizontal="center" vertical="center" textRotation="0" wrapText="false" shrinkToFit="true"/>
    </xf>
    <xf xfId="0" fontId="8" numFmtId="0" fillId="5" borderId="1" applyFont="1" applyNumberFormat="0" applyFill="1" applyBorder="1" applyAlignment="1">
      <alignment horizontal="center" vertical="center" textRotation="0" wrapText="false" shrinkToFit="false"/>
    </xf>
    <xf xfId="0" fontId="23" numFmtId="0" fillId="2" borderId="8" applyFont="1" applyNumberFormat="0" applyFill="0" applyBorder="1" applyAlignment="0">
      <alignment horizontal="general" vertical="center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0" fillId="5" borderId="25" applyFont="1" applyNumberFormat="0" applyFill="1" applyBorder="1" applyAlignment="1">
      <alignment horizontal="center" vertical="center" textRotation="0" wrapText="true" shrinkToFit="true"/>
    </xf>
    <xf xfId="0" fontId="8" numFmtId="0" fillId="5" borderId="26" applyFont="1" applyNumberFormat="0" applyFill="1" applyBorder="1" applyAlignment="1">
      <alignment horizontal="center" vertical="center" textRotation="0" wrapText="true" shrinkToFit="true"/>
    </xf>
    <xf xfId="0" fontId="8" numFmtId="0" fillId="5" borderId="27" applyFont="1" applyNumberFormat="0" applyFill="1" applyBorder="1" applyAlignment="1">
      <alignment horizontal="center" vertical="center" textRotation="0" wrapText="false" shrinkToFit="true"/>
    </xf>
    <xf xfId="0" fontId="8" numFmtId="0" fillId="5" borderId="28" applyFont="1" applyNumberFormat="0" applyFill="1" applyBorder="1" applyAlignment="1">
      <alignment horizontal="center" vertical="center" textRotation="0" wrapText="false" shrinkToFit="true"/>
    </xf>
    <xf xfId="0" fontId="8" numFmtId="0" fillId="5" borderId="28" applyFont="1" applyNumberFormat="0" applyFill="1" applyBorder="1" applyAlignment="1">
      <alignment horizontal="center" vertical="center" textRotation="0" wrapText="false" shrinkToFit="false"/>
    </xf>
    <xf xfId="0" fontId="8" numFmtId="0" fillId="5" borderId="29" applyFont="1" applyNumberFormat="0" applyFill="1" applyBorder="1" applyAlignment="1">
      <alignment horizontal="center" vertical="center" textRotation="0" wrapText="false" shrinkToFit="false"/>
    </xf>
    <xf xfId="0" fontId="8" numFmtId="164" fillId="5" borderId="28" applyFont="1" applyNumberFormat="1" applyFill="1" applyBorder="1" applyAlignment="1">
      <alignment horizontal="center" vertical="center" textRotation="0" wrapText="false" shrinkToFit="false"/>
    </xf>
    <xf xfId="0" fontId="8" numFmtId="164" fillId="5" borderId="29" applyFont="1" applyNumberFormat="1" applyFill="1" applyBorder="1" applyAlignment="1">
      <alignment horizontal="center" vertical="center" textRotation="0" wrapText="false" shrinkToFit="false"/>
    </xf>
    <xf xfId="0" fontId="8" numFmtId="0" fillId="5" borderId="30" applyFont="1" applyNumberFormat="0" applyFill="1" applyBorder="1" applyAlignment="1">
      <alignment horizontal="center" vertical="center" textRotation="0" wrapText="false" shrinkToFit="false"/>
    </xf>
    <xf xfId="0" fontId="3" numFmtId="22" fillId="2" borderId="0" applyFont="1" applyNumberFormat="1" applyFill="0" applyBorder="0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15" numFmtId="0" fillId="2" borderId="31" applyFont="1" applyNumberFormat="0" applyFill="0" applyBorder="1" applyAlignment="1">
      <alignment horizontal="center" vertical="center" textRotation="0" wrapText="false" shrinkToFit="true"/>
    </xf>
    <xf xfId="0" fontId="16" numFmtId="0" fillId="2" borderId="14" applyFont="1" applyNumberFormat="0" applyFill="0" applyBorder="1" applyAlignment="1">
      <alignment horizontal="center" vertical="center" textRotation="0" wrapText="false" shrinkToFit="true"/>
    </xf>
    <xf xfId="0" fontId="18" numFmtId="0" fillId="4" borderId="17" applyFont="1" applyNumberFormat="0" applyFill="1" applyBorder="1" applyAlignment="1">
      <alignment horizontal="center" vertical="center" textRotation="0" wrapText="false" shrinkToFit="false"/>
    </xf>
    <xf xfId="0" fontId="0" numFmtId="0" fillId="2" borderId="17" applyFont="0" applyNumberFormat="0" applyFill="0" applyBorder="1" applyAlignment="1">
      <alignment horizontal="center" vertical="center" textRotation="0" wrapText="false" shrinkToFit="false"/>
    </xf>
    <xf xfId="0" fontId="0" numFmtId="0" fillId="2" borderId="22" applyFont="0" applyNumberFormat="0" applyFill="0" applyBorder="1" applyAlignment="1">
      <alignment horizontal="center" vertical="center" textRotation="0" wrapText="false" shrinkToFit="false"/>
    </xf>
    <xf xfId="0" fontId="8" numFmtId="164" fillId="5" borderId="17" applyFont="1" applyNumberFormat="1" applyFill="1" applyBorder="1" applyAlignment="1">
      <alignment horizontal="center" vertical="center" textRotation="0" wrapText="false" shrinkToFit="false"/>
    </xf>
    <xf xfId="0" fontId="0" numFmtId="0" fillId="5" borderId="17" applyFont="0" applyNumberFormat="0" applyFill="1" applyBorder="1" applyAlignment="1">
      <alignment horizontal="center" vertical="center" textRotation="0" wrapText="false" shrinkToFit="false"/>
    </xf>
    <xf xfId="0" fontId="0" numFmtId="0" fillId="5" borderId="22" applyFont="0" applyNumberFormat="0" applyFill="1" applyBorder="1" applyAlignment="1">
      <alignment horizontal="center" vertical="center" textRotation="0" wrapText="false" shrinkToFit="false"/>
    </xf>
    <xf xfId="0" fontId="8" numFmtId="0" fillId="5" borderId="16" applyFont="1" applyNumberFormat="0" applyFill="1" applyBorder="1" applyAlignment="1">
      <alignment horizontal="center" vertical="center" textRotation="0" wrapText="false" shrinkToFit="true"/>
    </xf>
    <xf xfId="0" fontId="8" numFmtId="0" fillId="5" borderId="32" applyFont="1" applyNumberFormat="0" applyFill="1" applyBorder="1" applyAlignment="1">
      <alignment horizontal="center" vertical="center" textRotation="0" wrapText="false" shrinkToFit="true"/>
    </xf>
    <xf xfId="0" fontId="18" numFmtId="0" fillId="5" borderId="16" applyFont="1" applyNumberFormat="0" applyFill="1" applyBorder="1" applyAlignment="1">
      <alignment horizontal="center" vertical="center" textRotation="0" wrapText="false" shrinkToFit="false"/>
    </xf>
    <xf xfId="0" fontId="18" numFmtId="0" fillId="5" borderId="17" applyFont="1" applyNumberFormat="0" applyFill="1" applyBorder="1" applyAlignment="1">
      <alignment horizontal="center" vertical="center" textRotation="0" wrapText="false" shrinkToFit="false"/>
    </xf>
    <xf xfId="0" fontId="8" numFmtId="0" fillId="5" borderId="17" applyFont="1" applyNumberFormat="0" applyFill="1" applyBorder="1" applyAlignment="1">
      <alignment horizontal="center" vertical="center" textRotation="0" wrapText="false" shrinkToFit="false"/>
    </xf>
    <xf xfId="0" fontId="18" numFmtId="164" fillId="5" borderId="17" applyFont="1" applyNumberFormat="1" applyFill="1" applyBorder="1" applyAlignment="1">
      <alignment horizontal="center" vertical="center" textRotation="0" wrapText="false" shrinkToFit="false"/>
    </xf>
    <xf xfId="0" fontId="8" numFmtId="0" fillId="2" borderId="25" applyFont="1" applyNumberFormat="0" applyFill="0" applyBorder="1" applyAlignment="1">
      <alignment horizontal="center" vertical="center" textRotation="0" wrapText="false" shrinkToFit="true"/>
    </xf>
    <xf xfId="0" fontId="8" numFmtId="0" fillId="2" borderId="26" applyFont="1" applyNumberFormat="0" applyFill="0" applyBorder="1" applyAlignment="1">
      <alignment horizontal="center" vertical="center" textRotation="0" wrapText="false" shrinkToFit="true"/>
    </xf>
    <xf xfId="0" fontId="8" numFmtId="167" fillId="4" borderId="33" applyFont="1" applyNumberFormat="1" applyFill="1" applyBorder="1" applyAlignment="1">
      <alignment horizontal="center" vertical="center" textRotation="0" wrapText="false" shrinkToFit="false"/>
    </xf>
    <xf xfId="0" fontId="8" numFmtId="0" fillId="5" borderId="6" applyFont="1" applyNumberFormat="0" applyFill="1" applyBorder="1" applyAlignment="1">
      <alignment horizontal="center" vertical="center" textRotation="0" wrapText="false" shrinkToFit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g41.jpg"/><Relationship Id="rId2" Type="http://schemas.openxmlformats.org/officeDocument/2006/relationships/image" Target="../media/img52.jpg"/><Relationship Id="rId3" Type="http://schemas.openxmlformats.org/officeDocument/2006/relationships/image" Target="../media/img63.jpg"/><Relationship Id="rId4" Type="http://schemas.openxmlformats.org/officeDocument/2006/relationships/image" Target="../media/img74.jpg"/><Relationship Id="rId5" Type="http://schemas.openxmlformats.org/officeDocument/2006/relationships/image" Target="../media/img85.jpg"/><Relationship Id="rId6" Type="http://schemas.openxmlformats.org/officeDocument/2006/relationships/image" Target="../media/img106.jpg"/><Relationship Id="rId7" Type="http://schemas.openxmlformats.org/officeDocument/2006/relationships/image" Target="../media/img117.jpg"/><Relationship Id="rId8" Type="http://schemas.openxmlformats.org/officeDocument/2006/relationships/image" Target="../media/img128.jpg"/><Relationship Id="rId9" Type="http://schemas.openxmlformats.org/officeDocument/2006/relationships/image" Target="../media/img139.jpg"/><Relationship Id="rId10" Type="http://schemas.openxmlformats.org/officeDocument/2006/relationships/image" Target="../media/img1410.jpg"/><Relationship Id="rId11" Type="http://schemas.openxmlformats.org/officeDocument/2006/relationships/image" Target="../media/img1511.jpg"/><Relationship Id="rId12" Type="http://schemas.openxmlformats.org/officeDocument/2006/relationships/image" Target="../media/img1612.jpg"/><Relationship Id="rId13" Type="http://schemas.openxmlformats.org/officeDocument/2006/relationships/image" Target="../media/img1713.jpg"/><Relationship Id="rId14" Type="http://schemas.openxmlformats.org/officeDocument/2006/relationships/image" Target="../media/img1814.jpg"/><Relationship Id="rId15" Type="http://schemas.openxmlformats.org/officeDocument/2006/relationships/image" Target="../media/img1915.jpg"/><Relationship Id="rId16" Type="http://schemas.openxmlformats.org/officeDocument/2006/relationships/image" Target="../media/img2016.jpg"/><Relationship Id="rId17" Type="http://schemas.openxmlformats.org/officeDocument/2006/relationships/image" Target="../media/img211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13</xdr:row>
      <xdr:rowOff>47625</xdr:rowOff>
    </xdr:from>
    <xdr:ext cx="1381125" cy="1143000"/>
    <xdr:pic>
      <xdr:nvPicPr>
        <xdr:cNvPr id="1" name="img1" descr="商品１画像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14</xdr:row>
      <xdr:rowOff>47625</xdr:rowOff>
    </xdr:from>
    <xdr:ext cx="1381125" cy="1143000"/>
    <xdr:pic>
      <xdr:nvPicPr>
        <xdr:cNvPr id="2" name="img1" descr="商品１画像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15</xdr:row>
      <xdr:rowOff>47625</xdr:rowOff>
    </xdr:from>
    <xdr:ext cx="1381125" cy="1143000"/>
    <xdr:pic>
      <xdr:nvPicPr>
        <xdr:cNvPr id="3" name="img1" descr="商品１画像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16</xdr:row>
      <xdr:rowOff>47625</xdr:rowOff>
    </xdr:from>
    <xdr:ext cx="1381125" cy="1143000"/>
    <xdr:pic>
      <xdr:nvPicPr>
        <xdr:cNvPr id="4" name="img1" descr="商品１画像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17</xdr:row>
      <xdr:rowOff>47625</xdr:rowOff>
    </xdr:from>
    <xdr:ext cx="1381125" cy="1143000"/>
    <xdr:pic>
      <xdr:nvPicPr>
        <xdr:cNvPr id="5" name="img1" descr="商品１画像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18</xdr:row>
      <xdr:rowOff>47625</xdr:rowOff>
    </xdr:from>
    <xdr:ext cx="1381125" cy="1143000"/>
    <xdr:pic>
      <xdr:nvPicPr>
        <xdr:cNvPr id="6" name="img1" descr="商品１画像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19</xdr:row>
      <xdr:rowOff>47625</xdr:rowOff>
    </xdr:from>
    <xdr:ext cx="1381125" cy="1143000"/>
    <xdr:pic>
      <xdr:nvPicPr>
        <xdr:cNvPr id="7" name="img1" descr="商品１画像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20</xdr:row>
      <xdr:rowOff>47625</xdr:rowOff>
    </xdr:from>
    <xdr:ext cx="1381125" cy="1143000"/>
    <xdr:pic>
      <xdr:nvPicPr>
        <xdr:cNvPr id="8" name="img1" descr="商品１画像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21</xdr:row>
      <xdr:rowOff>47625</xdr:rowOff>
    </xdr:from>
    <xdr:ext cx="1381125" cy="1143000"/>
    <xdr:pic>
      <xdr:nvPicPr>
        <xdr:cNvPr id="9" name="img1" descr="商品１画像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22</xdr:row>
      <xdr:rowOff>47625</xdr:rowOff>
    </xdr:from>
    <xdr:ext cx="1381125" cy="1143000"/>
    <xdr:pic>
      <xdr:nvPicPr>
        <xdr:cNvPr id="10" name="img1" descr="商品１画像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23</xdr:row>
      <xdr:rowOff>47625</xdr:rowOff>
    </xdr:from>
    <xdr:ext cx="1381125" cy="1143000"/>
    <xdr:pic>
      <xdr:nvPicPr>
        <xdr:cNvPr id="11" name="img1" descr="商品１画像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24</xdr:row>
      <xdr:rowOff>47625</xdr:rowOff>
    </xdr:from>
    <xdr:ext cx="1381125" cy="1143000"/>
    <xdr:pic>
      <xdr:nvPicPr>
        <xdr:cNvPr id="12" name="img1" descr="商品１画像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25</xdr:row>
      <xdr:rowOff>47625</xdr:rowOff>
    </xdr:from>
    <xdr:ext cx="1381125" cy="1143000"/>
    <xdr:pic>
      <xdr:nvPicPr>
        <xdr:cNvPr id="13" name="img1" descr="商品１画像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26</xdr:row>
      <xdr:rowOff>47625</xdr:rowOff>
    </xdr:from>
    <xdr:ext cx="1381125" cy="1143000"/>
    <xdr:pic>
      <xdr:nvPicPr>
        <xdr:cNvPr id="14" name="img1" descr="商品１画像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27</xdr:row>
      <xdr:rowOff>47625</xdr:rowOff>
    </xdr:from>
    <xdr:ext cx="1381125" cy="1143000"/>
    <xdr:pic>
      <xdr:nvPicPr>
        <xdr:cNvPr id="15" name="img1" descr="商品１画像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28</xdr:row>
      <xdr:rowOff>47625</xdr:rowOff>
    </xdr:from>
    <xdr:ext cx="1381125" cy="1143000"/>
    <xdr:pic>
      <xdr:nvPicPr>
        <xdr:cNvPr id="16" name="img1" descr="商品１画像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29</xdr:row>
      <xdr:rowOff>47625</xdr:rowOff>
    </xdr:from>
    <xdr:ext cx="1381125" cy="1143000"/>
    <xdr:pic>
      <xdr:nvPicPr>
        <xdr:cNvPr id="17" name="img1" descr="商品１画像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S35"/>
  <sheetViews>
    <sheetView tabSelected="1" workbookViewId="0" zoomScale="50" zoomScaleNormal="50" showGridLines="false" showRowColHeaders="1">
      <selection activeCell="A1" sqref="A1"/>
    </sheetView>
  </sheetViews>
  <sheetFormatPr customHeight="true" defaultRowHeight="13.5" outlineLevelRow="0" outlineLevelCol="0"/>
  <cols>
    <col min="1" max="1" width="3.625" customWidth="true" style="5"/>
    <col min="2" max="2" width="14.125" customWidth="true" style="2"/>
    <col min="3" max="3" width="14.5" customWidth="true" style="2"/>
    <col min="4" max="4" width="13.375" customWidth="true" style="2"/>
    <col min="5" max="5" width="18.75" customWidth="true" style="2"/>
    <col min="6" max="6" width="42.5" customWidth="true" style="2"/>
    <col min="7" max="7" width="8.625" customWidth="true" style="2"/>
    <col min="8" max="8" width="8.625" customWidth="true" style="2"/>
    <col min="9" max="9" width="8.625" customWidth="true" style="2"/>
    <col min="10" max="10" width="10.75" customWidth="true" style="2"/>
    <col min="11" max="11" width="10.75" customWidth="true" style="2"/>
    <col min="12" max="12" width="10.75" customWidth="true" style="2"/>
    <col min="13" max="13" width="10.75" customWidth="true" style="2"/>
    <col min="14" max="14" width="10.375" customWidth="true" style="4"/>
    <col min="15" max="15" width="10.375" customWidth="true" style="4"/>
    <col min="16" max="16" width="7.875" customWidth="true" style="3"/>
    <col min="17" max="17" width="10.375" customWidth="true" style="2"/>
    <col min="18" max="18" width="7.375" customWidth="true" style="2"/>
    <col min="19" max="19" width="2.375" customWidth="true" style="2"/>
    <col min="20" max="20" width="6.25" customWidth="true" style="2"/>
    <col min="21" max="21" width="20.375" customWidth="true" style="2"/>
    <col min="22" max="22" width="6.75" customWidth="true" style="2"/>
    <col min="23" max="23" width="3.375" customWidth="true" style="2"/>
    <col min="24" max="24" width="11.25" customWidth="true" style="2"/>
    <col min="25" max="25" width="11.25" customWidth="true" style="2"/>
    <col min="26" max="26" width="3.375" customWidth="true" style="2"/>
    <col min="27" max="27" width="2.5" customWidth="true" style="2"/>
    <col min="28" max="28" width="6.25" customWidth="true" style="2"/>
    <col min="29" max="29" width="20.375" customWidth="true" style="2"/>
    <col min="30" max="30" width="6.75" customWidth="true" style="2"/>
    <col min="31" max="31" width="3.375" customWidth="true" style="2"/>
    <col min="32" max="32" width="11.25" customWidth="true" style="2"/>
    <col min="33" max="33" width="11.25" customWidth="true" style="2"/>
    <col min="34" max="34" width="3.375" customWidth="true" style="2"/>
    <col min="35" max="35" width="9" customWidth="true" style="2"/>
  </cols>
  <sheetData>
    <row r="1" spans="1:45" customHeight="1" ht="34.5">
      <c r="A1" s="5"/>
      <c r="B1" s="49" t="s">
        <v>0</v>
      </c>
      <c r="C1" s="71" t="s">
        <v>1</v>
      </c>
      <c r="D1" s="1"/>
      <c r="E1" s="1"/>
      <c r="F1" s="2"/>
      <c r="G1" s="2"/>
      <c r="H1" s="2"/>
      <c r="I1" s="2"/>
      <c r="J1" s="2"/>
      <c r="K1" s="2"/>
      <c r="L1" s="2"/>
      <c r="M1" s="2"/>
      <c r="N1" s="4"/>
      <c r="O1" s="27" t="s">
        <v>2</v>
      </c>
      <c r="P1" s="161" t="s">
        <v>3</v>
      </c>
      <c r="Q1" s="161"/>
      <c r="R1" s="161"/>
      <c r="S1" s="33"/>
      <c r="T1" s="65" t="s">
        <v>4</v>
      </c>
      <c r="U1" s="2"/>
      <c r="V1" s="2"/>
      <c r="W1" s="2"/>
      <c r="X1" s="37">
        <f>IF(J6&lt;30000,10000,IF(J6&gt;10000,ROUNDDOWN((J6/2),-3)))</f>
        <v>61000</v>
      </c>
      <c r="Y1" s="37"/>
      <c r="Z1" s="2"/>
      <c r="AA1" s="2"/>
      <c r="AB1" s="66" t="s">
        <v>5</v>
      </c>
      <c r="AC1" s="2"/>
      <c r="AD1" s="2"/>
      <c r="AE1" s="2"/>
      <c r="AF1" s="2"/>
      <c r="AG1" s="2"/>
      <c r="AH1" s="2"/>
      <c r="AI1" s="2"/>
      <c r="AJ1"/>
      <c r="AK1"/>
      <c r="AL1"/>
    </row>
    <row r="2" spans="1:45" customHeight="1" ht="36.75">
      <c r="A2" s="43"/>
      <c r="B2" s="43"/>
      <c r="C2" s="43"/>
      <c r="D2" s="43"/>
      <c r="E2" s="84" t="s">
        <v>6</v>
      </c>
      <c r="F2" s="84"/>
      <c r="G2" s="85" t="s">
        <v>7</v>
      </c>
      <c r="H2" s="85"/>
      <c r="I2" s="85"/>
      <c r="J2" s="82" t="s">
        <v>8</v>
      </c>
      <c r="K2" s="81"/>
      <c r="L2" s="43"/>
      <c r="M2" s="43"/>
      <c r="N2" s="43"/>
      <c r="O2" s="54" t="s">
        <v>9</v>
      </c>
      <c r="P2" s="171" t="s">
        <v>10</v>
      </c>
      <c r="Q2" s="172"/>
      <c r="R2" s="172"/>
      <c r="S2" s="2"/>
      <c r="T2" s="108"/>
      <c r="U2" s="109"/>
      <c r="V2" s="109"/>
      <c r="W2" s="109"/>
      <c r="X2" s="109"/>
      <c r="Y2" s="109"/>
      <c r="Z2" s="110"/>
      <c r="AA2" s="2"/>
      <c r="AB2" s="114" t="s">
        <v>11</v>
      </c>
      <c r="AC2" s="115"/>
      <c r="AD2" s="115"/>
      <c r="AE2" s="115"/>
      <c r="AF2" s="115"/>
      <c r="AG2" s="115"/>
      <c r="AH2" s="116"/>
      <c r="AI2" s="2"/>
      <c r="AJ2"/>
      <c r="AK2"/>
      <c r="AL2"/>
      <c r="AM2"/>
      <c r="AN2"/>
      <c r="AO2"/>
      <c r="AP2"/>
    </row>
    <row r="3" spans="1:45" customHeight="1" ht="37.5">
      <c r="A3" s="5"/>
      <c r="B3" s="51" t="s">
        <v>12</v>
      </c>
      <c r="C3" s="35"/>
      <c r="D3" s="35"/>
      <c r="E3" s="36"/>
      <c r="F3" s="36"/>
      <c r="G3" s="2"/>
      <c r="H3" s="2"/>
      <c r="I3" s="2"/>
      <c r="J3" s="2"/>
      <c r="K3" s="2"/>
      <c r="L3" s="2"/>
      <c r="M3" s="44"/>
      <c r="N3" s="44"/>
      <c r="O3" s="44"/>
      <c r="P3" s="44"/>
      <c r="Q3" s="44"/>
      <c r="R3" s="83"/>
      <c r="S3" s="44"/>
      <c r="T3" s="111"/>
      <c r="U3" s="112"/>
      <c r="V3" s="112"/>
      <c r="W3" s="112"/>
      <c r="X3" s="112"/>
      <c r="Y3" s="112"/>
      <c r="Z3" s="113"/>
      <c r="AA3" s="2"/>
      <c r="AB3" s="117"/>
      <c r="AC3" s="118"/>
      <c r="AD3" s="118"/>
      <c r="AE3" s="118"/>
      <c r="AF3" s="118"/>
      <c r="AG3" s="118"/>
      <c r="AH3" s="119"/>
      <c r="AI3" s="2"/>
      <c r="AJ3"/>
      <c r="AK3"/>
      <c r="AL3"/>
      <c r="AM3"/>
      <c r="AN3"/>
    </row>
    <row r="4" spans="1:45" customHeight="1" ht="9.949999999999999">
      <c r="A4" s="5"/>
      <c r="B4" s="51"/>
      <c r="C4" s="35"/>
      <c r="D4" s="35"/>
      <c r="E4" s="36"/>
      <c r="F4" s="36"/>
      <c r="G4" s="2"/>
      <c r="H4" s="2"/>
      <c r="I4" s="2"/>
      <c r="J4" s="2"/>
      <c r="K4" s="2"/>
      <c r="L4" s="2"/>
      <c r="M4" s="44"/>
      <c r="N4" s="44"/>
      <c r="O4" s="44"/>
      <c r="P4" s="44"/>
      <c r="Q4" s="44"/>
      <c r="R4" s="44"/>
      <c r="S4" s="44"/>
      <c r="T4" s="44"/>
      <c r="U4" s="44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/>
      <c r="AK4"/>
      <c r="AL4"/>
      <c r="AM4"/>
      <c r="AN4"/>
    </row>
    <row r="5" spans="1:45" customHeight="1" ht="37.5">
      <c r="A5" s="5"/>
      <c r="B5" s="162" t="s">
        <v>13</v>
      </c>
      <c r="C5" s="162"/>
      <c r="D5" s="163"/>
      <c r="E5" s="68" t="s">
        <v>14</v>
      </c>
      <c r="F5" s="190" t="s">
        <v>15</v>
      </c>
      <c r="G5" s="153"/>
      <c r="H5" s="2"/>
      <c r="I5" s="2"/>
      <c r="J5" s="164" t="s">
        <v>16</v>
      </c>
      <c r="K5" s="165"/>
      <c r="L5" s="166" t="s">
        <v>17</v>
      </c>
      <c r="M5" s="167"/>
      <c r="N5" s="168" t="s">
        <v>18</v>
      </c>
      <c r="O5" s="169"/>
      <c r="P5" s="166" t="s">
        <v>19</v>
      </c>
      <c r="Q5" s="166"/>
      <c r="R5" s="170"/>
      <c r="S5" s="33"/>
      <c r="T5" s="29" t="s">
        <v>20</v>
      </c>
      <c r="U5" s="73" t="s">
        <v>21</v>
      </c>
      <c r="V5" s="30">
        <v>156</v>
      </c>
      <c r="W5" s="31" t="s">
        <v>22</v>
      </c>
      <c r="X5" s="131">
        <v>1404</v>
      </c>
      <c r="Y5" s="132"/>
      <c r="Z5" s="78" t="s">
        <v>23</v>
      </c>
      <c r="AA5" s="2"/>
      <c r="AB5" s="29" t="s">
        <v>24</v>
      </c>
      <c r="AC5" s="73"/>
      <c r="AD5" s="30"/>
      <c r="AE5" s="31" t="s">
        <v>22</v>
      </c>
      <c r="AF5" s="38"/>
      <c r="AG5" s="38"/>
      <c r="AH5" s="31" t="s">
        <v>23</v>
      </c>
      <c r="AI5" s="2"/>
      <c r="AJ5"/>
      <c r="AK5"/>
      <c r="AL5"/>
      <c r="AM5"/>
      <c r="AN5"/>
    </row>
    <row r="6" spans="1:45" customHeight="1" ht="37.5">
      <c r="A6" s="5"/>
      <c r="B6" s="187" t="s">
        <v>25</v>
      </c>
      <c r="C6" s="187"/>
      <c r="D6" s="188"/>
      <c r="E6" s="69">
        <v>5340024</v>
      </c>
      <c r="F6" s="152" t="s">
        <v>26</v>
      </c>
      <c r="G6" s="153"/>
      <c r="H6" s="2"/>
      <c r="I6" s="2"/>
      <c r="J6" s="189">
        <f>SUM(L33)</f>
        <v>123046</v>
      </c>
      <c r="K6" s="143"/>
      <c r="L6" s="143">
        <v>9844</v>
      </c>
      <c r="M6" s="144"/>
      <c r="N6" s="143">
        <f>ROUNDUP(SUM(M33*C11),0)</f>
        <v>9489</v>
      </c>
      <c r="O6" s="144"/>
      <c r="P6" s="129">
        <f>ROUNDUP((SUM(X5:X10)+SUM(AF5:AF10))*C11,0)</f>
        <v>31871</v>
      </c>
      <c r="Q6" s="129"/>
      <c r="R6" s="130"/>
      <c r="S6" s="34"/>
      <c r="T6" s="29" t="s">
        <v>27</v>
      </c>
      <c r="U6" s="73"/>
      <c r="V6" s="30"/>
      <c r="W6" s="31" t="s">
        <v>22</v>
      </c>
      <c r="X6" s="131"/>
      <c r="Y6" s="132"/>
      <c r="Z6" s="31" t="s">
        <v>23</v>
      </c>
      <c r="AA6" s="2"/>
      <c r="AB6" s="29" t="s">
        <v>28</v>
      </c>
      <c r="AC6" s="73"/>
      <c r="AD6" s="30"/>
      <c r="AE6" s="31" t="s">
        <v>22</v>
      </c>
      <c r="AF6" s="38"/>
      <c r="AG6" s="38"/>
      <c r="AH6" s="31" t="s">
        <v>23</v>
      </c>
      <c r="AI6" s="2"/>
      <c r="AJ6"/>
      <c r="AK6"/>
      <c r="AL6"/>
      <c r="AM6"/>
      <c r="AN6"/>
    </row>
    <row r="7" spans="1:45" customHeight="1" ht="37.5">
      <c r="A7" s="5"/>
      <c r="B7" s="181" t="s">
        <v>29</v>
      </c>
      <c r="C7" s="181"/>
      <c r="D7" s="182"/>
      <c r="E7" s="70" t="s">
        <v>30</v>
      </c>
      <c r="F7" s="190" t="s">
        <v>31</v>
      </c>
      <c r="G7" s="153"/>
      <c r="H7" s="2"/>
      <c r="I7" s="2"/>
      <c r="J7" s="183" t="s">
        <v>32</v>
      </c>
      <c r="K7" s="184"/>
      <c r="L7" s="185" t="s">
        <v>33</v>
      </c>
      <c r="M7" s="185"/>
      <c r="N7" s="186"/>
      <c r="O7" s="186"/>
      <c r="P7" s="178"/>
      <c r="Q7" s="179"/>
      <c r="R7" s="180"/>
      <c r="S7" s="33"/>
      <c r="T7" s="29" t="s">
        <v>34</v>
      </c>
      <c r="U7" s="73"/>
      <c r="V7" s="30"/>
      <c r="W7" s="31" t="s">
        <v>22</v>
      </c>
      <c r="X7" s="131"/>
      <c r="Y7" s="132"/>
      <c r="Z7" s="31" t="s">
        <v>23</v>
      </c>
      <c r="AA7" s="2"/>
      <c r="AB7" s="29" t="s">
        <v>35</v>
      </c>
      <c r="AC7" s="73"/>
      <c r="AD7" s="30"/>
      <c r="AE7" s="31" t="s">
        <v>22</v>
      </c>
      <c r="AF7" s="38"/>
      <c r="AG7" s="38"/>
      <c r="AH7" s="31" t="s">
        <v>23</v>
      </c>
      <c r="AI7" s="2"/>
      <c r="AJ7"/>
      <c r="AK7"/>
      <c r="AL7"/>
      <c r="AM7"/>
    </row>
    <row r="8" spans="1:45" customHeight="1" ht="37.5">
      <c r="A8" s="5"/>
      <c r="B8" s="173" t="s">
        <v>36</v>
      </c>
      <c r="C8" s="174"/>
      <c r="D8" s="174"/>
      <c r="E8" s="67"/>
      <c r="F8" s="152" t="s">
        <v>37</v>
      </c>
      <c r="G8" s="153"/>
      <c r="H8" s="2"/>
      <c r="I8" s="2"/>
      <c r="J8" s="122">
        <v>4291</v>
      </c>
      <c r="K8" s="123"/>
      <c r="L8" s="124">
        <v>13328</v>
      </c>
      <c r="M8" s="124"/>
      <c r="N8" s="175"/>
      <c r="O8" s="175"/>
      <c r="P8" s="123"/>
      <c r="Q8" s="176"/>
      <c r="R8" s="177"/>
      <c r="S8" s="32"/>
      <c r="T8" s="29" t="s">
        <v>38</v>
      </c>
      <c r="U8" s="73"/>
      <c r="V8" s="30"/>
      <c r="W8" s="31" t="s">
        <v>22</v>
      </c>
      <c r="X8" s="131"/>
      <c r="Y8" s="132"/>
      <c r="Z8" s="31" t="s">
        <v>23</v>
      </c>
      <c r="AA8" s="2"/>
      <c r="AB8" s="29" t="s">
        <v>39</v>
      </c>
      <c r="AC8" s="73"/>
      <c r="AD8" s="30"/>
      <c r="AE8" s="31" t="s">
        <v>22</v>
      </c>
      <c r="AF8" s="38"/>
      <c r="AG8" s="38"/>
      <c r="AH8" s="31" t="s">
        <v>23</v>
      </c>
      <c r="AI8" s="2"/>
      <c r="AJ8"/>
    </row>
    <row r="9" spans="1:45" customHeight="1" ht="37.5">
      <c r="A9" s="5"/>
      <c r="B9" s="55"/>
      <c r="C9" s="56"/>
      <c r="D9" s="56"/>
      <c r="E9" s="57"/>
      <c r="F9" s="57"/>
      <c r="G9" s="2"/>
      <c r="H9" s="2"/>
      <c r="I9" s="2"/>
      <c r="J9" s="125" t="s">
        <v>40</v>
      </c>
      <c r="K9" s="126"/>
      <c r="L9" s="127">
        <v>64000</v>
      </c>
      <c r="M9" s="128"/>
      <c r="N9" s="120" t="s">
        <v>41</v>
      </c>
      <c r="O9" s="121"/>
      <c r="P9" s="47" t="s">
        <v>42</v>
      </c>
      <c r="Q9" s="48"/>
      <c r="R9" s="48" t="s">
        <v>22</v>
      </c>
      <c r="S9" s="46"/>
      <c r="T9" s="29" t="s">
        <v>43</v>
      </c>
      <c r="U9" s="73"/>
      <c r="V9" s="30"/>
      <c r="W9" s="31" t="s">
        <v>22</v>
      </c>
      <c r="X9" s="131"/>
      <c r="Y9" s="132"/>
      <c r="Z9" s="31" t="s">
        <v>23</v>
      </c>
      <c r="AA9" s="2"/>
      <c r="AB9" s="29" t="s">
        <v>44</v>
      </c>
      <c r="AC9" s="73"/>
      <c r="AD9" s="30"/>
      <c r="AE9" s="31" t="s">
        <v>22</v>
      </c>
      <c r="AF9" s="38"/>
      <c r="AG9" s="38"/>
      <c r="AH9" s="31" t="s">
        <v>23</v>
      </c>
      <c r="AI9" s="2"/>
      <c r="AJ9"/>
    </row>
    <row r="10" spans="1:45" customHeight="1" ht="37.5">
      <c r="A10" s="5"/>
      <c r="B10" s="62" t="s">
        <v>45</v>
      </c>
      <c r="C10" s="26"/>
      <c r="D10" s="26"/>
      <c r="E10" s="26"/>
      <c r="F10" s="63" t="str">
        <f>ROUND((J8+L8)*C12,0)+N8+P8</f>
        <v>0</v>
      </c>
      <c r="G10" s="50"/>
      <c r="H10" s="64"/>
      <c r="I10" s="79"/>
      <c r="J10" s="139" t="s">
        <v>46</v>
      </c>
      <c r="K10" s="139"/>
      <c r="L10" s="139"/>
      <c r="M10" s="139"/>
      <c r="N10" s="133" t="s">
        <v>47</v>
      </c>
      <c r="O10" s="133"/>
      <c r="P10" s="140">
        <f>IF(L11="銀行振込",J6+ROUND(L6*C12,0)+N6+P6+J8+L8,IF(L11="PayPal",ROUND((J6+ROUND(L6*C12,0)+N6+P6+J8+L8)*E12,0)))</f>
        <v>191869</v>
      </c>
      <c r="Q10" s="140"/>
      <c r="R10" s="140"/>
      <c r="S10" s="28"/>
      <c r="T10" s="29" t="s">
        <v>48</v>
      </c>
      <c r="U10" s="73"/>
      <c r="V10" s="30"/>
      <c r="W10" s="31" t="s">
        <v>22</v>
      </c>
      <c r="X10" s="131"/>
      <c r="Y10" s="132"/>
      <c r="Z10" s="31" t="s">
        <v>23</v>
      </c>
      <c r="AA10" s="2"/>
      <c r="AB10" s="29" t="s">
        <v>49</v>
      </c>
      <c r="AC10" s="73"/>
      <c r="AD10" s="30"/>
      <c r="AE10" s="31" t="s">
        <v>22</v>
      </c>
      <c r="AF10" s="38"/>
      <c r="AG10" s="38"/>
      <c r="AH10" s="31" t="s">
        <v>23</v>
      </c>
      <c r="AI10" s="2"/>
      <c r="AJ10"/>
      <c r="AK10"/>
    </row>
    <row r="11" spans="1:45" customHeight="1" ht="37.5">
      <c r="A11" s="5"/>
      <c r="B11" s="42" t="s">
        <v>50</v>
      </c>
      <c r="C11" s="52">
        <v>22.7</v>
      </c>
      <c r="D11" s="42" t="s">
        <v>51</v>
      </c>
      <c r="E11" s="53">
        <v>0.08</v>
      </c>
      <c r="F11" s="6"/>
      <c r="G11" s="134" t="s">
        <v>52</v>
      </c>
      <c r="H11" s="134"/>
      <c r="I11" s="134"/>
      <c r="J11" s="134"/>
      <c r="K11" s="134"/>
      <c r="L11" s="135" t="s">
        <v>53</v>
      </c>
      <c r="M11" s="136"/>
      <c r="N11" s="137" t="s">
        <v>54</v>
      </c>
      <c r="O11" s="137"/>
      <c r="P11" s="138" t="s">
        <v>55</v>
      </c>
      <c r="Q11" s="138"/>
      <c r="R11" s="28" t="s">
        <v>56</v>
      </c>
      <c r="S11" s="2"/>
      <c r="T11" s="141"/>
      <c r="U11" s="142"/>
      <c r="V11" s="106"/>
      <c r="W11" s="107"/>
      <c r="X11" s="107"/>
      <c r="Y11" s="72"/>
      <c r="Z11" s="3"/>
      <c r="AA11" s="2"/>
      <c r="AB11" s="58"/>
      <c r="AC11" s="48"/>
      <c r="AD11" s="77"/>
      <c r="AE11" s="3"/>
      <c r="AF11" s="59"/>
      <c r="AG11" s="59"/>
      <c r="AH11" s="3"/>
      <c r="AI11" s="2"/>
      <c r="AJ11"/>
      <c r="AK11"/>
    </row>
    <row r="12" spans="1:45" customHeight="1" ht="9.949999999999999">
      <c r="A12" s="5"/>
      <c r="B12" s="42"/>
      <c r="C12" s="60">
        <v>1</v>
      </c>
      <c r="D12" s="42"/>
      <c r="E12" s="61">
        <v>1</v>
      </c>
      <c r="F12" s="24"/>
      <c r="G12" s="45"/>
      <c r="H12" s="45"/>
      <c r="I12" s="45"/>
      <c r="J12" s="45"/>
      <c r="K12" s="45"/>
      <c r="L12" s="45"/>
      <c r="M12" s="45"/>
      <c r="N12" s="45"/>
      <c r="O12" s="45"/>
      <c r="P12" s="2"/>
      <c r="Q12" s="2"/>
      <c r="R12" s="2"/>
      <c r="S12" s="2"/>
      <c r="T12" s="25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/>
      <c r="AK12"/>
    </row>
    <row r="13" spans="1:45" customHeight="1" ht="35.25">
      <c r="A13" s="19" t="s">
        <v>57</v>
      </c>
      <c r="B13" s="156" t="s">
        <v>58</v>
      </c>
      <c r="C13" s="157"/>
      <c r="D13" s="157"/>
      <c r="E13" s="20" t="s">
        <v>59</v>
      </c>
      <c r="F13" s="21" t="s">
        <v>60</v>
      </c>
      <c r="G13" s="80" t="s">
        <v>61</v>
      </c>
      <c r="H13" s="80" t="s">
        <v>62</v>
      </c>
      <c r="I13" s="80" t="s">
        <v>63</v>
      </c>
      <c r="J13" s="20" t="s">
        <v>64</v>
      </c>
      <c r="K13" s="20" t="s">
        <v>65</v>
      </c>
      <c r="L13" s="20" t="s">
        <v>66</v>
      </c>
      <c r="M13" s="22" t="s">
        <v>67</v>
      </c>
      <c r="N13" s="23" t="s">
        <v>68</v>
      </c>
      <c r="O13" s="23" t="s">
        <v>69</v>
      </c>
      <c r="P13" s="22" t="s">
        <v>70</v>
      </c>
      <c r="Q13" s="97" t="s">
        <v>71</v>
      </c>
      <c r="R13" s="158"/>
      <c r="S13" s="158"/>
      <c r="T13" s="158"/>
      <c r="U13" s="159"/>
      <c r="V13" s="95" t="s">
        <v>72</v>
      </c>
      <c r="W13" s="96"/>
      <c r="X13" s="97"/>
      <c r="Y13" s="92" t="s">
        <v>73</v>
      </c>
      <c r="Z13" s="93"/>
      <c r="AA13" s="93"/>
      <c r="AB13" s="93"/>
      <c r="AC13" s="94"/>
      <c r="AD13" s="95" t="s">
        <v>74</v>
      </c>
      <c r="AE13" s="96"/>
      <c r="AF13" s="96"/>
      <c r="AG13" s="96"/>
      <c r="AH13" s="97"/>
      <c r="AI13" s="2"/>
      <c r="AJ13"/>
      <c r="AK13"/>
      <c r="AL13"/>
      <c r="AM13"/>
      <c r="AN13"/>
      <c r="AO13"/>
    </row>
    <row r="14" spans="1:45" customHeight="1" ht="99">
      <c r="A14" s="12">
        <v>1</v>
      </c>
      <c r="B14" s="160" t="s">
        <v>75</v>
      </c>
      <c r="C14" s="151"/>
      <c r="D14" s="151"/>
      <c r="E14" s="15"/>
      <c r="F14" s="40" t="s">
        <v>76</v>
      </c>
      <c r="G14" s="41">
        <v>20</v>
      </c>
      <c r="H14" s="74">
        <v>20</v>
      </c>
      <c r="I14" s="74">
        <v>20</v>
      </c>
      <c r="J14" s="41">
        <v>6.6</v>
      </c>
      <c r="K14" s="16">
        <v>149.82</v>
      </c>
      <c r="L14" s="16">
        <f>IF(I14&lt;&gt;"",ROUNDUP(SUM(K14*I14),0),IF(H14&lt;&gt;"",ROUNDUP(SUM(K14*H14),0),ROUNDUP(SUM(K14*G14),0)))</f>
        <v>2997</v>
      </c>
      <c r="M14" s="16">
        <v>14</v>
      </c>
      <c r="N14" s="17" t="s">
        <v>1</v>
      </c>
      <c r="O14" s="17" t="s">
        <v>77</v>
      </c>
      <c r="P14" s="18" t="s">
        <v>20</v>
      </c>
      <c r="Q14" s="105"/>
      <c r="R14" s="105"/>
      <c r="S14" s="105"/>
      <c r="T14" s="105" t="s">
        <v>78</v>
      </c>
      <c r="U14" s="105"/>
      <c r="V14" s="98" t="s">
        <v>79</v>
      </c>
      <c r="W14" s="99"/>
      <c r="X14" s="100"/>
      <c r="Y14" s="101" t="s">
        <v>80</v>
      </c>
      <c r="Z14" s="102"/>
      <c r="AA14" s="102"/>
      <c r="AB14" s="102"/>
      <c r="AC14" s="103"/>
      <c r="AD14" s="101"/>
      <c r="AE14" s="102"/>
      <c r="AF14" s="102"/>
      <c r="AG14" s="102"/>
      <c r="AH14" s="103"/>
      <c r="AI14" s="2"/>
      <c r="AJ14"/>
      <c r="AK14"/>
      <c r="AL14"/>
      <c r="AM14"/>
      <c r="AN14"/>
      <c r="AO14"/>
      <c r="AP14"/>
      <c r="AQ14"/>
      <c r="AR14"/>
      <c r="AS14"/>
    </row>
    <row r="15" spans="1:45" customHeight="1" ht="99">
      <c r="A15" s="12">
        <v>2</v>
      </c>
      <c r="B15" s="154" t="s">
        <v>81</v>
      </c>
      <c r="C15" s="155"/>
      <c r="D15" s="155"/>
      <c r="E15" s="8"/>
      <c r="F15" s="40" t="s">
        <v>82</v>
      </c>
      <c r="G15" s="39">
        <v>10</v>
      </c>
      <c r="H15" s="75"/>
      <c r="I15" s="75"/>
      <c r="J15" s="39">
        <v>14.33</v>
      </c>
      <c r="K15" s="16">
        <v>325.291</v>
      </c>
      <c r="L15" s="16">
        <f>IF(I15&lt;&gt;"",ROUNDUP(SUM(K15*I15),0),IF(H15&lt;&gt;"",ROUNDUP(SUM(K15*H15),0),ROUNDUP(SUM(K15*G15),0)))</f>
        <v>3253</v>
      </c>
      <c r="M15" s="11">
        <v>10</v>
      </c>
      <c r="N15" s="13" t="s">
        <v>83</v>
      </c>
      <c r="O15" s="13" t="s">
        <v>77</v>
      </c>
      <c r="P15" s="14" t="s">
        <v>84</v>
      </c>
      <c r="Q15" s="105"/>
      <c r="R15" s="105"/>
      <c r="S15" s="105"/>
      <c r="T15" s="105" t="s">
        <v>85</v>
      </c>
      <c r="U15" s="105"/>
      <c r="V15" s="98" t="s">
        <v>79</v>
      </c>
      <c r="W15" s="99"/>
      <c r="X15" s="100"/>
      <c r="Y15" s="101" t="s">
        <v>80</v>
      </c>
      <c r="Z15" s="102"/>
      <c r="AA15" s="102"/>
      <c r="AB15" s="102"/>
      <c r="AC15" s="103"/>
      <c r="AD15" s="101"/>
      <c r="AE15" s="102"/>
      <c r="AF15" s="102"/>
      <c r="AG15" s="102"/>
      <c r="AH15" s="103"/>
      <c r="AI15" s="2"/>
      <c r="AJ15"/>
      <c r="AK15"/>
      <c r="AL15"/>
      <c r="AM15"/>
      <c r="AN15"/>
      <c r="AO15"/>
      <c r="AP15"/>
      <c r="AQ15"/>
      <c r="AR15"/>
      <c r="AS15"/>
    </row>
    <row r="16" spans="1:45" customHeight="1" ht="99">
      <c r="A16" s="12">
        <v>3</v>
      </c>
      <c r="B16" s="150" t="s">
        <v>86</v>
      </c>
      <c r="C16" s="151"/>
      <c r="D16" s="151"/>
      <c r="E16" s="8"/>
      <c r="F16" s="40" t="s">
        <v>87</v>
      </c>
      <c r="G16" s="39">
        <v>21</v>
      </c>
      <c r="H16" s="75">
        <v>18</v>
      </c>
      <c r="I16" s="75">
        <v>18</v>
      </c>
      <c r="J16" s="39">
        <v>16</v>
      </c>
      <c r="K16" s="16">
        <v>363.2</v>
      </c>
      <c r="L16" s="16">
        <f>IF(I16&lt;&gt;"",ROUNDUP(SUM(K16*I16),0),IF(H16&lt;&gt;"",ROUNDUP(SUM(K16*H16),0),ROUNDUP(SUM(K16*G16),0)))</f>
        <v>6538</v>
      </c>
      <c r="M16" s="11">
        <v>30</v>
      </c>
      <c r="N16" s="13" t="s">
        <v>1</v>
      </c>
      <c r="O16" s="13" t="s">
        <v>77</v>
      </c>
      <c r="P16" s="14" t="s">
        <v>20</v>
      </c>
      <c r="Q16" s="105"/>
      <c r="R16" s="105"/>
      <c r="S16" s="105"/>
      <c r="T16" s="105" t="s">
        <v>88</v>
      </c>
      <c r="U16" s="105"/>
      <c r="V16" s="98" t="s">
        <v>79</v>
      </c>
      <c r="W16" s="99"/>
      <c r="X16" s="100"/>
      <c r="Y16" s="101" t="s">
        <v>80</v>
      </c>
      <c r="Z16" s="102"/>
      <c r="AA16" s="102"/>
      <c r="AB16" s="102"/>
      <c r="AC16" s="103"/>
      <c r="AD16" s="101" t="s">
        <v>89</v>
      </c>
      <c r="AE16" s="102"/>
      <c r="AF16" s="102"/>
      <c r="AG16" s="102"/>
      <c r="AH16" s="103"/>
      <c r="AI16" s="2"/>
      <c r="AJ16"/>
      <c r="AK16"/>
      <c r="AL16"/>
      <c r="AM16"/>
      <c r="AN16"/>
      <c r="AO16"/>
      <c r="AP16"/>
      <c r="AQ16"/>
      <c r="AR16"/>
      <c r="AS16"/>
    </row>
    <row r="17" spans="1:45" customHeight="1" ht="99">
      <c r="A17" s="12">
        <v>4</v>
      </c>
      <c r="B17" s="150" t="s">
        <v>90</v>
      </c>
      <c r="C17" s="151"/>
      <c r="D17" s="151"/>
      <c r="E17" s="8"/>
      <c r="F17" s="40" t="s">
        <v>91</v>
      </c>
      <c r="G17" s="39">
        <v>22</v>
      </c>
      <c r="H17" s="75">
        <v>22</v>
      </c>
      <c r="I17" s="75">
        <v>22</v>
      </c>
      <c r="J17" s="39">
        <v>11</v>
      </c>
      <c r="K17" s="16">
        <v>249.7</v>
      </c>
      <c r="L17" s="16">
        <f>IF(I17&lt;&gt;"",ROUNDUP(SUM(K17*I17),0),IF(H17&lt;&gt;"",ROUNDUP(SUM(K17*H17),0),ROUNDUP(SUM(K17*G17),0)))</f>
        <v>5494</v>
      </c>
      <c r="M17" s="11">
        <v>46</v>
      </c>
      <c r="N17" s="13" t="s">
        <v>1</v>
      </c>
      <c r="O17" s="13" t="s">
        <v>77</v>
      </c>
      <c r="P17" s="14" t="s">
        <v>20</v>
      </c>
      <c r="Q17" s="105"/>
      <c r="R17" s="105"/>
      <c r="S17" s="105"/>
      <c r="T17" s="105" t="s">
        <v>92</v>
      </c>
      <c r="U17" s="105"/>
      <c r="V17" s="98" t="s">
        <v>79</v>
      </c>
      <c r="W17" s="99"/>
      <c r="X17" s="100"/>
      <c r="Y17" s="101" t="s">
        <v>80</v>
      </c>
      <c r="Z17" s="102"/>
      <c r="AA17" s="102"/>
      <c r="AB17" s="102"/>
      <c r="AC17" s="103"/>
      <c r="AD17" s="101" t="s">
        <v>93</v>
      </c>
      <c r="AE17" s="102"/>
      <c r="AF17" s="102"/>
      <c r="AG17" s="102"/>
      <c r="AH17" s="103"/>
      <c r="AI17" s="2"/>
      <c r="AJ17"/>
      <c r="AK17"/>
      <c r="AL17"/>
      <c r="AM17"/>
      <c r="AN17"/>
      <c r="AO17"/>
      <c r="AP17"/>
      <c r="AQ17"/>
      <c r="AR17"/>
      <c r="AS17"/>
    </row>
    <row r="18" spans="1:45" customHeight="1" ht="99">
      <c r="A18" s="12">
        <v>5</v>
      </c>
      <c r="B18" s="150" t="s">
        <v>94</v>
      </c>
      <c r="C18" s="151"/>
      <c r="D18" s="151"/>
      <c r="E18" s="8"/>
      <c r="F18" s="40" t="s">
        <v>95</v>
      </c>
      <c r="G18" s="39">
        <v>18</v>
      </c>
      <c r="H18" s="75">
        <v>18</v>
      </c>
      <c r="I18" s="75">
        <v>18</v>
      </c>
      <c r="J18" s="39">
        <v>19.5</v>
      </c>
      <c r="K18" s="16">
        <v>442.65</v>
      </c>
      <c r="L18" s="16">
        <f>IF(I18&lt;&gt;"",ROUNDUP(SUM(K18*I18),0),IF(H18&lt;&gt;"",ROUNDUP(SUM(K18*H18),0),ROUNDUP(SUM(K18*G18),0)))</f>
        <v>7968</v>
      </c>
      <c r="M18" s="11">
        <v>12</v>
      </c>
      <c r="N18" s="13" t="s">
        <v>1</v>
      </c>
      <c r="O18" s="13" t="s">
        <v>77</v>
      </c>
      <c r="P18" s="14" t="s">
        <v>20</v>
      </c>
      <c r="Q18" s="105"/>
      <c r="R18" s="105"/>
      <c r="S18" s="105"/>
      <c r="T18" s="105" t="s">
        <v>96</v>
      </c>
      <c r="U18" s="105"/>
      <c r="V18" s="98" t="s">
        <v>79</v>
      </c>
      <c r="W18" s="99"/>
      <c r="X18" s="100"/>
      <c r="Y18" s="101" t="s">
        <v>80</v>
      </c>
      <c r="Z18" s="102"/>
      <c r="AA18" s="102"/>
      <c r="AB18" s="102"/>
      <c r="AC18" s="103"/>
      <c r="AD18" s="101" t="s">
        <v>93</v>
      </c>
      <c r="AE18" s="102"/>
      <c r="AF18" s="102"/>
      <c r="AG18" s="102"/>
      <c r="AH18" s="103"/>
      <c r="AI18" s="2"/>
      <c r="AJ18"/>
      <c r="AK18"/>
      <c r="AL18"/>
      <c r="AM18"/>
      <c r="AN18"/>
      <c r="AO18"/>
      <c r="AP18"/>
      <c r="AQ18"/>
      <c r="AR18"/>
      <c r="AS18"/>
    </row>
    <row r="19" spans="1:45" customHeight="1" ht="99">
      <c r="A19" s="12">
        <v>6</v>
      </c>
      <c r="B19" s="150" t="s">
        <v>97</v>
      </c>
      <c r="C19" s="151"/>
      <c r="D19" s="151"/>
      <c r="E19" s="8"/>
      <c r="F19" s="40" t="s">
        <v>98</v>
      </c>
      <c r="G19" s="39">
        <v>33</v>
      </c>
      <c r="H19" s="75">
        <v>33</v>
      </c>
      <c r="I19" s="75">
        <v>31</v>
      </c>
      <c r="J19" s="39">
        <v>26</v>
      </c>
      <c r="K19" s="16">
        <v>590.2</v>
      </c>
      <c r="L19" s="16">
        <f>IF(I19&lt;&gt;"",ROUNDUP(SUM(K19*I19),0),IF(H19&lt;&gt;"",ROUNDUP(SUM(K19*H19),0),ROUNDUP(SUM(K19*G19),0)))</f>
        <v>18297</v>
      </c>
      <c r="M19" s="11">
        <v>60</v>
      </c>
      <c r="N19" s="13" t="s">
        <v>1</v>
      </c>
      <c r="O19" s="13" t="s">
        <v>77</v>
      </c>
      <c r="P19" s="14" t="s">
        <v>20</v>
      </c>
      <c r="Q19" s="105"/>
      <c r="R19" s="105"/>
      <c r="S19" s="105"/>
      <c r="T19" s="105" t="s">
        <v>99</v>
      </c>
      <c r="U19" s="105"/>
      <c r="V19" s="98" t="s">
        <v>79</v>
      </c>
      <c r="W19" s="99"/>
      <c r="X19" s="100"/>
      <c r="Y19" s="101" t="s">
        <v>80</v>
      </c>
      <c r="Z19" s="102"/>
      <c r="AA19" s="102"/>
      <c r="AB19" s="102"/>
      <c r="AC19" s="103"/>
      <c r="AD19" s="101" t="s">
        <v>100</v>
      </c>
      <c r="AE19" s="102"/>
      <c r="AF19" s="102"/>
      <c r="AG19" s="102"/>
      <c r="AH19" s="103"/>
      <c r="AI19" s="2"/>
      <c r="AJ19"/>
      <c r="AK19"/>
      <c r="AL19"/>
      <c r="AM19"/>
      <c r="AN19"/>
      <c r="AO19"/>
      <c r="AP19"/>
      <c r="AQ19"/>
      <c r="AR19"/>
      <c r="AS19"/>
    </row>
    <row r="20" spans="1:45" customHeight="1" ht="99">
      <c r="A20" s="12">
        <v>7</v>
      </c>
      <c r="B20" s="150" t="s">
        <v>101</v>
      </c>
      <c r="C20" s="151"/>
      <c r="D20" s="151"/>
      <c r="E20" s="8"/>
      <c r="F20" s="40" t="s">
        <v>102</v>
      </c>
      <c r="G20" s="39">
        <v>27</v>
      </c>
      <c r="H20" s="75">
        <v>27</v>
      </c>
      <c r="I20" s="75">
        <v>23</v>
      </c>
      <c r="J20" s="39">
        <v>16.9</v>
      </c>
      <c r="K20" s="16">
        <v>383.63</v>
      </c>
      <c r="L20" s="16">
        <f>IF(I20&lt;&gt;"",ROUNDUP(SUM(K20*I20),0),IF(H20&lt;&gt;"",ROUNDUP(SUM(K20*H20),0),ROUNDUP(SUM(K20*G20),0)))</f>
        <v>8824</v>
      </c>
      <c r="M20" s="11">
        <v>46</v>
      </c>
      <c r="N20" s="13" t="s">
        <v>1</v>
      </c>
      <c r="O20" s="13" t="s">
        <v>77</v>
      </c>
      <c r="P20" s="14" t="s">
        <v>20</v>
      </c>
      <c r="Q20" s="105"/>
      <c r="R20" s="105"/>
      <c r="S20" s="105"/>
      <c r="T20" s="105"/>
      <c r="U20" s="105"/>
      <c r="V20" s="98" t="s">
        <v>103</v>
      </c>
      <c r="W20" s="99"/>
      <c r="X20" s="100"/>
      <c r="Y20" s="101" t="s">
        <v>80</v>
      </c>
      <c r="Z20" s="102"/>
      <c r="AA20" s="102"/>
      <c r="AB20" s="102"/>
      <c r="AC20" s="103"/>
      <c r="AD20" s="101" t="s">
        <v>104</v>
      </c>
      <c r="AE20" s="102"/>
      <c r="AF20" s="102"/>
      <c r="AG20" s="102"/>
      <c r="AH20" s="103"/>
      <c r="AI20" s="2"/>
      <c r="AJ20"/>
      <c r="AK20"/>
      <c r="AL20"/>
      <c r="AM20"/>
      <c r="AN20"/>
      <c r="AO20"/>
      <c r="AP20"/>
      <c r="AQ20"/>
      <c r="AR20"/>
      <c r="AS20"/>
    </row>
    <row r="21" spans="1:45" customHeight="1" ht="99">
      <c r="A21" s="12">
        <v>8</v>
      </c>
      <c r="B21" s="150" t="s">
        <v>105</v>
      </c>
      <c r="C21" s="151"/>
      <c r="D21" s="151"/>
      <c r="E21" s="8"/>
      <c r="F21" s="40" t="s">
        <v>106</v>
      </c>
      <c r="G21" s="39">
        <v>20</v>
      </c>
      <c r="H21" s="75">
        <v>20</v>
      </c>
      <c r="I21" s="75">
        <v>20</v>
      </c>
      <c r="J21" s="39">
        <v>21</v>
      </c>
      <c r="K21" s="16">
        <v>476.7</v>
      </c>
      <c r="L21" s="16">
        <f>IF(I21&lt;&gt;"",ROUNDUP(SUM(K21*I21),0),IF(H21&lt;&gt;"",ROUNDUP(SUM(K21*H21),0),ROUNDUP(SUM(K21*G21),0)))</f>
        <v>9534</v>
      </c>
      <c r="M21" s="11">
        <v>14</v>
      </c>
      <c r="N21" s="13" t="s">
        <v>1</v>
      </c>
      <c r="O21" s="13" t="s">
        <v>77</v>
      </c>
      <c r="P21" s="14" t="s">
        <v>20</v>
      </c>
      <c r="Q21" s="105"/>
      <c r="R21" s="105"/>
      <c r="S21" s="105"/>
      <c r="T21" s="105" t="s">
        <v>107</v>
      </c>
      <c r="U21" s="105"/>
      <c r="V21" s="98" t="s">
        <v>79</v>
      </c>
      <c r="W21" s="99"/>
      <c r="X21" s="100"/>
      <c r="Y21" s="101" t="s">
        <v>80</v>
      </c>
      <c r="Z21" s="102"/>
      <c r="AA21" s="102"/>
      <c r="AB21" s="102"/>
      <c r="AC21" s="103"/>
      <c r="AD21" s="101" t="s">
        <v>89</v>
      </c>
      <c r="AE21" s="102"/>
      <c r="AF21" s="102"/>
      <c r="AG21" s="102"/>
      <c r="AH21" s="103"/>
      <c r="AI21" s="2"/>
      <c r="AJ21"/>
      <c r="AK21"/>
      <c r="AL21"/>
      <c r="AM21"/>
      <c r="AN21"/>
      <c r="AO21"/>
      <c r="AP21"/>
      <c r="AQ21"/>
      <c r="AR21"/>
      <c r="AS21"/>
    </row>
    <row r="22" spans="1:45" customHeight="1" ht="99">
      <c r="A22" s="12">
        <v>9</v>
      </c>
      <c r="B22" s="150" t="s">
        <v>108</v>
      </c>
      <c r="C22" s="151"/>
      <c r="D22" s="151"/>
      <c r="E22" s="8"/>
      <c r="F22" s="40" t="s">
        <v>109</v>
      </c>
      <c r="G22" s="39">
        <v>5</v>
      </c>
      <c r="H22" s="75">
        <v>5</v>
      </c>
      <c r="I22" s="75">
        <v>5</v>
      </c>
      <c r="J22" s="39">
        <v>24</v>
      </c>
      <c r="K22" s="16">
        <v>544.8</v>
      </c>
      <c r="L22" s="16">
        <f>IF(I22&lt;&gt;"",ROUNDUP(SUM(K22*I22),0),IF(H22&lt;&gt;"",ROUNDUP(SUM(K22*H22),0),ROUNDUP(SUM(K22*G22),0)))</f>
        <v>2724</v>
      </c>
      <c r="M22" s="11">
        <v>14</v>
      </c>
      <c r="N22" s="13" t="s">
        <v>1</v>
      </c>
      <c r="O22" s="13" t="s">
        <v>77</v>
      </c>
      <c r="P22" s="14" t="s">
        <v>20</v>
      </c>
      <c r="Q22" s="105"/>
      <c r="R22" s="105"/>
      <c r="S22" s="105"/>
      <c r="T22" s="105"/>
      <c r="U22" s="105"/>
      <c r="V22" s="98" t="s">
        <v>79</v>
      </c>
      <c r="W22" s="99"/>
      <c r="X22" s="100"/>
      <c r="Y22" s="101" t="s">
        <v>80</v>
      </c>
      <c r="Z22" s="102"/>
      <c r="AA22" s="102"/>
      <c r="AB22" s="102"/>
      <c r="AC22" s="103"/>
      <c r="AD22" s="101" t="s">
        <v>110</v>
      </c>
      <c r="AE22" s="102"/>
      <c r="AF22" s="102"/>
      <c r="AG22" s="102"/>
      <c r="AH22" s="103"/>
      <c r="AI22" s="2"/>
      <c r="AJ22"/>
      <c r="AK22"/>
      <c r="AL22"/>
      <c r="AM22"/>
      <c r="AN22"/>
      <c r="AO22"/>
      <c r="AP22"/>
      <c r="AQ22"/>
      <c r="AR22"/>
      <c r="AS22"/>
    </row>
    <row r="23" spans="1:45" customHeight="1" ht="99">
      <c r="A23" s="12">
        <v>10</v>
      </c>
      <c r="B23" s="104" t="s">
        <v>111</v>
      </c>
      <c r="C23" s="104"/>
      <c r="D23" s="104"/>
      <c r="E23" s="8"/>
      <c r="F23" s="40" t="s">
        <v>112</v>
      </c>
      <c r="G23" s="39">
        <v>13</v>
      </c>
      <c r="H23" s="75">
        <v>13</v>
      </c>
      <c r="I23" s="75">
        <v>13</v>
      </c>
      <c r="J23" s="39">
        <v>43</v>
      </c>
      <c r="K23" s="16">
        <v>976.1</v>
      </c>
      <c r="L23" s="16">
        <f>IF(I23&lt;&gt;"",ROUNDUP(SUM(K23*I23),0),IF(H23&lt;&gt;"",ROUNDUP(SUM(K23*H23),0),ROUNDUP(SUM(K23*G23),0)))</f>
        <v>12690</v>
      </c>
      <c r="M23" s="11">
        <v>30</v>
      </c>
      <c r="N23" s="13" t="s">
        <v>113</v>
      </c>
      <c r="O23" s="13" t="s">
        <v>55</v>
      </c>
      <c r="P23" s="14" t="s">
        <v>20</v>
      </c>
      <c r="Q23" s="105"/>
      <c r="R23" s="105"/>
      <c r="S23" s="105"/>
      <c r="T23" s="105" t="s">
        <v>114</v>
      </c>
      <c r="U23" s="105"/>
      <c r="V23" s="98" t="s">
        <v>79</v>
      </c>
      <c r="W23" s="99"/>
      <c r="X23" s="100"/>
      <c r="Y23" s="101" t="s">
        <v>80</v>
      </c>
      <c r="Z23" s="102"/>
      <c r="AA23" s="102"/>
      <c r="AB23" s="102"/>
      <c r="AC23" s="103"/>
      <c r="AD23" s="101"/>
      <c r="AE23" s="102"/>
      <c r="AF23" s="102"/>
      <c r="AG23" s="102"/>
      <c r="AH23" s="103"/>
      <c r="AI23" s="2"/>
      <c r="AJ23"/>
      <c r="AK23"/>
      <c r="AL23"/>
      <c r="AM23"/>
      <c r="AN23"/>
      <c r="AO23"/>
      <c r="AP23"/>
      <c r="AQ23"/>
      <c r="AR23"/>
      <c r="AS23"/>
    </row>
    <row r="24" spans="1:45" customHeight="1" ht="99">
      <c r="A24" s="12">
        <v>11</v>
      </c>
      <c r="B24" s="104" t="s">
        <v>115</v>
      </c>
      <c r="C24" s="104"/>
      <c r="D24" s="104"/>
      <c r="E24" s="8"/>
      <c r="F24" s="40" t="s">
        <v>116</v>
      </c>
      <c r="G24" s="39">
        <v>18</v>
      </c>
      <c r="H24" s="75">
        <v>18</v>
      </c>
      <c r="I24" s="75">
        <v>18</v>
      </c>
      <c r="J24" s="39">
        <v>10.48</v>
      </c>
      <c r="K24" s="16">
        <v>237.896</v>
      </c>
      <c r="L24" s="16">
        <f>IF(I24&lt;&gt;"",ROUNDUP(SUM(K24*I24),0),IF(H24&lt;&gt;"",ROUNDUP(SUM(K24*H24),0),ROUNDUP(SUM(K24*G24),0)))</f>
        <v>4283</v>
      </c>
      <c r="M24" s="11">
        <v>20</v>
      </c>
      <c r="N24" s="13" t="s">
        <v>1</v>
      </c>
      <c r="O24" s="13" t="s">
        <v>77</v>
      </c>
      <c r="P24" s="14" t="s">
        <v>20</v>
      </c>
      <c r="Q24" s="105"/>
      <c r="R24" s="105"/>
      <c r="S24" s="105"/>
      <c r="T24" s="105" t="s">
        <v>117</v>
      </c>
      <c r="U24" s="105"/>
      <c r="V24" s="98" t="s">
        <v>79</v>
      </c>
      <c r="W24" s="99"/>
      <c r="X24" s="100"/>
      <c r="Y24" s="101" t="s">
        <v>80</v>
      </c>
      <c r="Z24" s="102"/>
      <c r="AA24" s="102"/>
      <c r="AB24" s="102"/>
      <c r="AC24" s="103"/>
      <c r="AD24" s="101" t="s">
        <v>118</v>
      </c>
      <c r="AE24" s="102"/>
      <c r="AF24" s="102"/>
      <c r="AG24" s="102"/>
      <c r="AH24" s="103"/>
      <c r="AI24" s="2"/>
      <c r="AJ24"/>
      <c r="AK24"/>
      <c r="AL24"/>
      <c r="AM24"/>
      <c r="AN24"/>
      <c r="AO24"/>
      <c r="AP24"/>
      <c r="AQ24"/>
      <c r="AR24"/>
      <c r="AS24"/>
    </row>
    <row r="25" spans="1:45" customHeight="1" ht="99">
      <c r="A25" s="12">
        <v>12</v>
      </c>
      <c r="B25" s="104" t="s">
        <v>119</v>
      </c>
      <c r="C25" s="104"/>
      <c r="D25" s="104"/>
      <c r="E25" s="8"/>
      <c r="F25" s="40" t="s">
        <v>120</v>
      </c>
      <c r="G25" s="39">
        <v>15</v>
      </c>
      <c r="H25" s="75">
        <v>15</v>
      </c>
      <c r="I25" s="75">
        <v>15</v>
      </c>
      <c r="J25" s="39">
        <v>13.5</v>
      </c>
      <c r="K25" s="16">
        <v>306.45</v>
      </c>
      <c r="L25" s="16">
        <f>IF(I25&lt;&gt;"",ROUNDUP(SUM(K25*I25),0),IF(H25&lt;&gt;"",ROUNDUP(SUM(K25*H25),0),ROUNDUP(SUM(K25*G25),0)))</f>
        <v>4597</v>
      </c>
      <c r="M25" s="11">
        <v>22</v>
      </c>
      <c r="N25" s="13" t="s">
        <v>1</v>
      </c>
      <c r="O25" s="13" t="s">
        <v>77</v>
      </c>
      <c r="P25" s="14" t="s">
        <v>20</v>
      </c>
      <c r="Q25" s="105"/>
      <c r="R25" s="105"/>
      <c r="S25" s="105"/>
      <c r="T25" s="105" t="s">
        <v>121</v>
      </c>
      <c r="U25" s="105"/>
      <c r="V25" s="98" t="s">
        <v>79</v>
      </c>
      <c r="W25" s="99"/>
      <c r="X25" s="100"/>
      <c r="Y25" s="101" t="s">
        <v>80</v>
      </c>
      <c r="Z25" s="102"/>
      <c r="AA25" s="102"/>
      <c r="AB25" s="102"/>
      <c r="AC25" s="103"/>
      <c r="AD25" s="101" t="s">
        <v>122</v>
      </c>
      <c r="AE25" s="102"/>
      <c r="AF25" s="102"/>
      <c r="AG25" s="102"/>
      <c r="AH25" s="103"/>
      <c r="AI25" s="2"/>
      <c r="AJ25"/>
      <c r="AK25"/>
      <c r="AL25"/>
      <c r="AM25"/>
      <c r="AN25"/>
      <c r="AO25"/>
      <c r="AP25"/>
      <c r="AQ25"/>
      <c r="AR25"/>
      <c r="AS25"/>
    </row>
    <row r="26" spans="1:45" customHeight="1" ht="99">
      <c r="A26" s="12">
        <v>13</v>
      </c>
      <c r="B26" s="104" t="s">
        <v>123</v>
      </c>
      <c r="C26" s="104"/>
      <c r="D26" s="104"/>
      <c r="E26" s="8"/>
      <c r="F26" s="40" t="s">
        <v>124</v>
      </c>
      <c r="G26" s="39">
        <v>13</v>
      </c>
      <c r="H26" s="75">
        <v>13</v>
      </c>
      <c r="I26" s="75">
        <v>13</v>
      </c>
      <c r="J26" s="39">
        <v>12</v>
      </c>
      <c r="K26" s="16">
        <v>272.4</v>
      </c>
      <c r="L26" s="16">
        <f>IF(I26&lt;&gt;"",ROUNDUP(SUM(K26*I26),0),IF(H26&lt;&gt;"",ROUNDUP(SUM(K26*H26),0),ROUNDUP(SUM(K26*G26),0)))</f>
        <v>3542</v>
      </c>
      <c r="M26" s="11">
        <v>18</v>
      </c>
      <c r="N26" s="13" t="s">
        <v>1</v>
      </c>
      <c r="O26" s="13" t="s">
        <v>77</v>
      </c>
      <c r="P26" s="14" t="s">
        <v>20</v>
      </c>
      <c r="Q26" s="105"/>
      <c r="R26" s="105"/>
      <c r="S26" s="105"/>
      <c r="T26" s="105"/>
      <c r="U26" s="105"/>
      <c r="V26" s="98" t="s">
        <v>79</v>
      </c>
      <c r="W26" s="99"/>
      <c r="X26" s="100"/>
      <c r="Y26" s="101" t="s">
        <v>80</v>
      </c>
      <c r="Z26" s="102"/>
      <c r="AA26" s="102"/>
      <c r="AB26" s="102"/>
      <c r="AC26" s="103"/>
      <c r="AD26" s="101"/>
      <c r="AE26" s="102"/>
      <c r="AF26" s="102"/>
      <c r="AG26" s="102"/>
      <c r="AH26" s="103"/>
      <c r="AI26" s="2"/>
      <c r="AJ26"/>
      <c r="AK26"/>
      <c r="AL26"/>
      <c r="AM26"/>
      <c r="AN26"/>
      <c r="AO26"/>
      <c r="AP26"/>
      <c r="AQ26"/>
      <c r="AR26"/>
      <c r="AS26"/>
    </row>
    <row r="27" spans="1:45" customHeight="1" ht="99">
      <c r="A27" s="12">
        <v>14</v>
      </c>
      <c r="B27" s="104" t="s">
        <v>125</v>
      </c>
      <c r="C27" s="104"/>
      <c r="D27" s="104"/>
      <c r="E27" s="8"/>
      <c r="F27" s="40" t="s">
        <v>126</v>
      </c>
      <c r="G27" s="39">
        <v>80</v>
      </c>
      <c r="H27" s="75">
        <v>80</v>
      </c>
      <c r="I27" s="75">
        <v>80</v>
      </c>
      <c r="J27" s="39">
        <v>4.99</v>
      </c>
      <c r="K27" s="16">
        <v>113.273</v>
      </c>
      <c r="L27" s="16">
        <f>IF(I27&lt;&gt;"",ROUNDUP(SUM(K27*I27),0),IF(H27&lt;&gt;"",ROUNDUP(SUM(K27*H27),0),ROUNDUP(SUM(K27*G27),0)))</f>
        <v>9062</v>
      </c>
      <c r="M27" s="11">
        <v>26</v>
      </c>
      <c r="N27" s="13" t="s">
        <v>1</v>
      </c>
      <c r="O27" s="13" t="s">
        <v>77</v>
      </c>
      <c r="P27" s="14" t="s">
        <v>20</v>
      </c>
      <c r="Q27" s="105"/>
      <c r="R27" s="105"/>
      <c r="S27" s="105"/>
      <c r="T27" s="105"/>
      <c r="U27" s="105"/>
      <c r="V27" s="98" t="s">
        <v>79</v>
      </c>
      <c r="W27" s="99"/>
      <c r="X27" s="100"/>
      <c r="Y27" s="101" t="s">
        <v>80</v>
      </c>
      <c r="Z27" s="102"/>
      <c r="AA27" s="102"/>
      <c r="AB27" s="102"/>
      <c r="AC27" s="103"/>
      <c r="AD27" s="101"/>
      <c r="AE27" s="102"/>
      <c r="AF27" s="102"/>
      <c r="AG27" s="102"/>
      <c r="AH27" s="103"/>
      <c r="AI27" s="2"/>
      <c r="AJ27"/>
      <c r="AK27"/>
      <c r="AL27"/>
      <c r="AM27"/>
      <c r="AN27"/>
      <c r="AO27"/>
      <c r="AP27"/>
      <c r="AQ27"/>
      <c r="AR27"/>
      <c r="AS27"/>
    </row>
    <row r="28" spans="1:45" customHeight="1" ht="99">
      <c r="A28" s="12">
        <v>15</v>
      </c>
      <c r="B28" s="104" t="s">
        <v>127</v>
      </c>
      <c r="C28" s="104"/>
      <c r="D28" s="104"/>
      <c r="E28" s="8"/>
      <c r="F28" s="40" t="s">
        <v>128</v>
      </c>
      <c r="G28" s="39">
        <v>25</v>
      </c>
      <c r="H28" s="75">
        <v>25</v>
      </c>
      <c r="I28" s="75">
        <v>25</v>
      </c>
      <c r="J28" s="39">
        <v>15.6</v>
      </c>
      <c r="K28" s="16">
        <v>354.12</v>
      </c>
      <c r="L28" s="16">
        <f>IF(I28&lt;&gt;"",ROUNDUP(SUM(K28*I28),0),IF(H28&lt;&gt;"",ROUNDUP(SUM(K28*H28),0),ROUNDUP(SUM(K28*G28),0)))</f>
        <v>8853</v>
      </c>
      <c r="M28" s="11">
        <v>0</v>
      </c>
      <c r="N28" s="13" t="s">
        <v>1</v>
      </c>
      <c r="O28" s="13" t="s">
        <v>77</v>
      </c>
      <c r="P28" s="14" t="s">
        <v>20</v>
      </c>
      <c r="Q28" s="105"/>
      <c r="R28" s="105"/>
      <c r="S28" s="105"/>
      <c r="T28" s="105"/>
      <c r="U28" s="105"/>
      <c r="V28" s="98" t="s">
        <v>79</v>
      </c>
      <c r="W28" s="99"/>
      <c r="X28" s="100"/>
      <c r="Y28" s="101" t="s">
        <v>80</v>
      </c>
      <c r="Z28" s="102"/>
      <c r="AA28" s="102"/>
      <c r="AB28" s="102"/>
      <c r="AC28" s="103"/>
      <c r="AD28" s="101" t="s">
        <v>129</v>
      </c>
      <c r="AE28" s="102"/>
      <c r="AF28" s="102"/>
      <c r="AG28" s="102"/>
      <c r="AH28" s="103"/>
      <c r="AI28" s="2"/>
      <c r="AJ28"/>
      <c r="AK28"/>
      <c r="AL28"/>
      <c r="AM28"/>
      <c r="AN28"/>
      <c r="AO28"/>
      <c r="AP28"/>
      <c r="AQ28"/>
      <c r="AR28"/>
      <c r="AS28"/>
    </row>
    <row r="29" spans="1:45" customHeight="1" ht="99">
      <c r="A29" s="12">
        <v>16</v>
      </c>
      <c r="B29" s="104" t="s">
        <v>130</v>
      </c>
      <c r="C29" s="104"/>
      <c r="D29" s="104"/>
      <c r="E29" s="8"/>
      <c r="F29" s="40" t="s">
        <v>131</v>
      </c>
      <c r="G29" s="39">
        <v>20</v>
      </c>
      <c r="H29" s="75">
        <v>20</v>
      </c>
      <c r="I29" s="75">
        <v>20</v>
      </c>
      <c r="J29" s="39">
        <v>18</v>
      </c>
      <c r="K29" s="16">
        <v>408.6</v>
      </c>
      <c r="L29" s="16">
        <f>IF(I29&lt;&gt;"",ROUNDUP(SUM(K29*I29),0),IF(H29&lt;&gt;"",ROUNDUP(SUM(K29*H29),0),ROUNDUP(SUM(K29*G29),0)))</f>
        <v>8172</v>
      </c>
      <c r="M29" s="11">
        <v>46</v>
      </c>
      <c r="N29" s="13" t="s">
        <v>1</v>
      </c>
      <c r="O29" s="13" t="s">
        <v>77</v>
      </c>
      <c r="P29" s="14" t="s">
        <v>20</v>
      </c>
      <c r="Q29" s="105"/>
      <c r="R29" s="105"/>
      <c r="S29" s="105"/>
      <c r="T29" s="105"/>
      <c r="U29" s="105"/>
      <c r="V29" s="98" t="s">
        <v>79</v>
      </c>
      <c r="W29" s="99"/>
      <c r="X29" s="100"/>
      <c r="Y29" s="101" t="s">
        <v>80</v>
      </c>
      <c r="Z29" s="102"/>
      <c r="AA29" s="102"/>
      <c r="AB29" s="102"/>
      <c r="AC29" s="103"/>
      <c r="AD29" s="101" t="s">
        <v>89</v>
      </c>
      <c r="AE29" s="102"/>
      <c r="AF29" s="102"/>
      <c r="AG29" s="102"/>
      <c r="AH29" s="103"/>
      <c r="AI29" s="2"/>
      <c r="AJ29"/>
      <c r="AK29"/>
      <c r="AL29"/>
      <c r="AM29"/>
      <c r="AN29"/>
      <c r="AO29"/>
      <c r="AP29"/>
      <c r="AQ29"/>
      <c r="AR29"/>
      <c r="AS29"/>
    </row>
    <row r="30" spans="1:45" customHeight="1" ht="99">
      <c r="A30" s="12">
        <v>17</v>
      </c>
      <c r="B30" s="104" t="s">
        <v>132</v>
      </c>
      <c r="C30" s="104"/>
      <c r="D30" s="104"/>
      <c r="E30" s="8"/>
      <c r="F30" s="40" t="s">
        <v>133</v>
      </c>
      <c r="G30" s="39">
        <v>33</v>
      </c>
      <c r="H30" s="75">
        <v>33</v>
      </c>
      <c r="I30" s="75">
        <v>33</v>
      </c>
      <c r="J30" s="39">
        <v>8.300000000000001</v>
      </c>
      <c r="K30" s="16">
        <v>188.41</v>
      </c>
      <c r="L30" s="16">
        <f>IF(I30&lt;&gt;"",ROUNDUP(SUM(K30*I30),0),IF(H30&lt;&gt;"",ROUNDUP(SUM(K30*H30),0),ROUNDUP(SUM(K30*G30),0)))</f>
        <v>6218</v>
      </c>
      <c r="M30" s="11">
        <v>10</v>
      </c>
      <c r="N30" s="13" t="s">
        <v>1</v>
      </c>
      <c r="O30" s="13" t="s">
        <v>77</v>
      </c>
      <c r="P30" s="14" t="s">
        <v>20</v>
      </c>
      <c r="Q30" s="105"/>
      <c r="R30" s="105"/>
      <c r="S30" s="105"/>
      <c r="T30" s="105"/>
      <c r="U30" s="105"/>
      <c r="V30" s="98" t="s">
        <v>79</v>
      </c>
      <c r="W30" s="99"/>
      <c r="X30" s="100"/>
      <c r="Y30" s="101" t="s">
        <v>80</v>
      </c>
      <c r="Z30" s="102"/>
      <c r="AA30" s="102"/>
      <c r="AB30" s="102"/>
      <c r="AC30" s="103"/>
      <c r="AD30" s="101" t="s">
        <v>89</v>
      </c>
      <c r="AE30" s="102"/>
      <c r="AF30" s="102"/>
      <c r="AG30" s="102"/>
      <c r="AH30" s="103"/>
      <c r="AI30" s="2"/>
      <c r="AJ30"/>
      <c r="AK30"/>
      <c r="AL30"/>
      <c r="AM30"/>
      <c r="AN30"/>
      <c r="AO30"/>
      <c r="AP30"/>
      <c r="AQ30"/>
      <c r="AR30"/>
      <c r="AS30"/>
    </row>
    <row r="31" spans="1:45" customHeight="1" ht="99">
      <c r="A31" s="12">
        <v>18</v>
      </c>
      <c r="B31" s="104" t="s">
        <v>134</v>
      </c>
      <c r="C31" s="104"/>
      <c r="D31" s="104"/>
      <c r="E31" s="8"/>
      <c r="F31" s="40" t="s">
        <v>135</v>
      </c>
      <c r="G31" s="39">
        <v>0</v>
      </c>
      <c r="H31" s="75"/>
      <c r="I31" s="75"/>
      <c r="J31" s="39">
        <v>0</v>
      </c>
      <c r="K31" s="16">
        <v>0</v>
      </c>
      <c r="L31" s="16">
        <f>IF(I31&lt;&gt;"",ROUNDUP(SUM(K31*I31),0),IF(H31&lt;&gt;"",ROUNDUP(SUM(K31*H31),0),ROUNDUP(SUM(K31*G31),0)))</f>
        <v>0</v>
      </c>
      <c r="M31" s="11">
        <v>0</v>
      </c>
      <c r="N31" s="13" t="s">
        <v>136</v>
      </c>
      <c r="O31" s="13" t="s">
        <v>136</v>
      </c>
      <c r="P31" s="14" t="s">
        <v>137</v>
      </c>
      <c r="Q31" s="105"/>
      <c r="R31" s="105"/>
      <c r="S31" s="105"/>
      <c r="T31" s="105"/>
      <c r="U31" s="105"/>
      <c r="V31" s="98" t="s">
        <v>79</v>
      </c>
      <c r="W31" s="99"/>
      <c r="X31" s="100"/>
      <c r="Y31" s="101"/>
      <c r="Z31" s="102"/>
      <c r="AA31" s="102"/>
      <c r="AB31" s="102"/>
      <c r="AC31" s="103"/>
      <c r="AD31" s="101"/>
      <c r="AE31" s="102"/>
      <c r="AF31" s="102"/>
      <c r="AG31" s="102"/>
      <c r="AH31" s="103"/>
      <c r="AI31" s="2"/>
      <c r="AJ31"/>
      <c r="AK31"/>
      <c r="AL31"/>
      <c r="AM31"/>
      <c r="AN31"/>
      <c r="AO31"/>
      <c r="AP31"/>
      <c r="AQ31"/>
      <c r="AR31"/>
      <c r="AS31"/>
    </row>
    <row r="32" spans="1:45" customHeight="1" ht="99">
      <c r="A32" s="12"/>
      <c r="B32" s="104"/>
      <c r="C32" s="104"/>
      <c r="D32" s="104"/>
      <c r="E32" s="8"/>
      <c r="F32" s="40"/>
      <c r="G32" s="39"/>
      <c r="H32" s="75"/>
      <c r="I32" s="75"/>
      <c r="J32" s="39"/>
      <c r="K32" s="16">
        <f>ROUNDDOWN(SUM(J32*$C$11),3)</f>
        <v>0</v>
      </c>
      <c r="L32" s="16">
        <f>IF(I32&lt;&gt;"",ROUNDUP(SUM(K32*I32),0),IF(H32&lt;&gt;"",ROUNDUP(SUM(K32*H32),0),ROUNDUP(SUM(K32*G32),0)))</f>
        <v>0</v>
      </c>
      <c r="M32" s="11"/>
      <c r="N32" s="13"/>
      <c r="O32" s="13"/>
      <c r="P32" s="14" t="s">
        <v>138</v>
      </c>
      <c r="Q32" s="105"/>
      <c r="R32" s="105"/>
      <c r="S32" s="105"/>
      <c r="T32" s="105"/>
      <c r="U32" s="105"/>
      <c r="V32" s="98"/>
      <c r="W32" s="99"/>
      <c r="X32" s="100"/>
      <c r="Y32" s="101"/>
      <c r="Z32" s="102"/>
      <c r="AA32" s="102"/>
      <c r="AB32" s="102"/>
      <c r="AC32" s="103"/>
      <c r="AD32" s="101"/>
      <c r="AE32" s="102"/>
      <c r="AF32" s="102"/>
      <c r="AG32" s="102"/>
      <c r="AH32" s="103"/>
      <c r="AI32" s="2"/>
      <c r="AJ32"/>
      <c r="AK32"/>
      <c r="AL32"/>
      <c r="AM32"/>
      <c r="AN32"/>
      <c r="AO32"/>
      <c r="AP32"/>
      <c r="AQ32"/>
      <c r="AR32"/>
      <c r="AS32"/>
    </row>
    <row r="33" spans="1:45" customHeight="1" ht="29.25">
      <c r="A33" s="7"/>
      <c r="B33" s="145" t="s">
        <v>139</v>
      </c>
      <c r="C33" s="146"/>
      <c r="D33" s="146"/>
      <c r="E33" s="8"/>
      <c r="F33" s="9"/>
      <c r="G33" s="10">
        <f>SUM(G14:G32)</f>
        <v>393</v>
      </c>
      <c r="H33" s="76">
        <f>SUM(H14:H32)</f>
        <v>380</v>
      </c>
      <c r="I33" s="76">
        <f>SUM(I14:I32)</f>
        <v>374</v>
      </c>
      <c r="J33" s="10"/>
      <c r="K33" s="11"/>
      <c r="L33" s="11">
        <f>SUM(L14:L32)</f>
        <v>123046</v>
      </c>
      <c r="M33" s="11">
        <f>SUM(M14:M32)</f>
        <v>418</v>
      </c>
      <c r="N33" s="147" t="s">
        <v>140</v>
      </c>
      <c r="O33" s="148"/>
      <c r="P33" s="147"/>
      <c r="Q33" s="149">
        <f>IF(AND(P10&gt;0,G33&gt;0),((P10-J6)/G33),0)</f>
        <v>175.1221374045801</v>
      </c>
      <c r="R33" s="149"/>
      <c r="S33" s="149"/>
      <c r="T33" s="149"/>
      <c r="U33" s="149"/>
      <c r="V33" s="86"/>
      <c r="W33" s="87"/>
      <c r="X33" s="88"/>
      <c r="Y33" s="89"/>
      <c r="Z33" s="90"/>
      <c r="AA33" s="90"/>
      <c r="AB33" s="90"/>
      <c r="AC33" s="91"/>
      <c r="AD33" s="89"/>
      <c r="AE33" s="90"/>
      <c r="AF33" s="90"/>
      <c r="AG33" s="90"/>
      <c r="AH33" s="91"/>
      <c r="AI33" s="2"/>
      <c r="AJ33"/>
      <c r="AK33"/>
      <c r="AL33"/>
      <c r="AM33"/>
      <c r="AN33"/>
      <c r="AO33"/>
      <c r="AP33"/>
      <c r="AQ33"/>
      <c r="AR33"/>
      <c r="AS33"/>
    </row>
    <row r="34" spans="1:45" customHeight="1" ht="21.75">
      <c r="A34" s="5"/>
      <c r="B34" s="2" t="s">
        <v>141</v>
      </c>
      <c r="C34" s="2"/>
      <c r="D34" s="2"/>
      <c r="E34" s="2"/>
      <c r="F34" s="2"/>
      <c r="G34" s="2"/>
      <c r="H34" s="2"/>
      <c r="I34" s="2"/>
      <c r="J34" s="2"/>
      <c r="K34" s="6"/>
      <c r="L34" s="6" t="s">
        <v>142</v>
      </c>
      <c r="M34" s="2"/>
      <c r="N34" s="4"/>
      <c r="O34" s="4"/>
      <c r="P34" s="3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/>
      <c r="AK34"/>
      <c r="AL34"/>
      <c r="AM34"/>
      <c r="AN34"/>
      <c r="AO34"/>
      <c r="AP34"/>
      <c r="AQ34"/>
      <c r="AR34"/>
    </row>
    <row r="35" spans="1:4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V32:X32"/>
    <mergeCell ref="Y32:AC32"/>
    <mergeCell ref="AD32:AH32"/>
    <mergeCell ref="P1:R1"/>
    <mergeCell ref="B5:D5"/>
    <mergeCell ref="J5:K5"/>
    <mergeCell ref="L5:M5"/>
    <mergeCell ref="N5:O5"/>
    <mergeCell ref="P5:R5"/>
    <mergeCell ref="P2:R2"/>
    <mergeCell ref="B8:D8"/>
    <mergeCell ref="N8:O8"/>
    <mergeCell ref="P8:R8"/>
    <mergeCell ref="P7:R7"/>
    <mergeCell ref="B7:D7"/>
    <mergeCell ref="J7:K7"/>
    <mergeCell ref="L7:M7"/>
    <mergeCell ref="N7:O7"/>
    <mergeCell ref="B6:D6"/>
    <mergeCell ref="J6:K6"/>
    <mergeCell ref="N6:O6"/>
    <mergeCell ref="F5:G5"/>
    <mergeCell ref="F6:G6"/>
    <mergeCell ref="F7:G7"/>
    <mergeCell ref="F8:G8"/>
    <mergeCell ref="B15:D15"/>
    <mergeCell ref="Q15:S15"/>
    <mergeCell ref="T15:U15"/>
    <mergeCell ref="B32:D32"/>
    <mergeCell ref="Q32:S32"/>
    <mergeCell ref="T32:U32"/>
    <mergeCell ref="B16:D16"/>
    <mergeCell ref="Q16:S16"/>
    <mergeCell ref="T16:U16"/>
    <mergeCell ref="B13:D13"/>
    <mergeCell ref="Q13:U13"/>
    <mergeCell ref="B14:D14"/>
    <mergeCell ref="Q14:S14"/>
    <mergeCell ref="T14:U14"/>
    <mergeCell ref="B19:D19"/>
    <mergeCell ref="Q19:S19"/>
    <mergeCell ref="T19:U19"/>
    <mergeCell ref="B20:D20"/>
    <mergeCell ref="Q20:S20"/>
    <mergeCell ref="T20:U20"/>
    <mergeCell ref="B17:D17"/>
    <mergeCell ref="Q17:S17"/>
    <mergeCell ref="T17:U17"/>
    <mergeCell ref="B18:D18"/>
    <mergeCell ref="Q18:S18"/>
    <mergeCell ref="T18:U18"/>
    <mergeCell ref="B24:D24"/>
    <mergeCell ref="Q24:S24"/>
    <mergeCell ref="T24:U24"/>
    <mergeCell ref="B21:D21"/>
    <mergeCell ref="Q21:S21"/>
    <mergeCell ref="T21:U21"/>
    <mergeCell ref="B22:D22"/>
    <mergeCell ref="Q22:S22"/>
    <mergeCell ref="T22:U22"/>
    <mergeCell ref="V16:X16"/>
    <mergeCell ref="Y16:AC16"/>
    <mergeCell ref="AD16:AH16"/>
    <mergeCell ref="V17:X17"/>
    <mergeCell ref="Y17:AC17"/>
    <mergeCell ref="AD17:AH17"/>
    <mergeCell ref="B33:D33"/>
    <mergeCell ref="N33:P33"/>
    <mergeCell ref="Q33:U33"/>
    <mergeCell ref="B27:D27"/>
    <mergeCell ref="Q27:S27"/>
    <mergeCell ref="T27:U27"/>
    <mergeCell ref="B25:D25"/>
    <mergeCell ref="Q25:S25"/>
    <mergeCell ref="T25:U25"/>
    <mergeCell ref="B26:D26"/>
    <mergeCell ref="Q26:S26"/>
    <mergeCell ref="T26:U26"/>
    <mergeCell ref="B23:D23"/>
    <mergeCell ref="Q23:S23"/>
    <mergeCell ref="T23:U23"/>
    <mergeCell ref="V25:X25"/>
    <mergeCell ref="Y25:AC25"/>
    <mergeCell ref="AD25:AH25"/>
    <mergeCell ref="V18:X18"/>
    <mergeCell ref="Y18:AC18"/>
    <mergeCell ref="AD18:AH18"/>
    <mergeCell ref="V19:X19"/>
    <mergeCell ref="Y19:AC19"/>
    <mergeCell ref="AD19:AH19"/>
    <mergeCell ref="V20:X20"/>
    <mergeCell ref="Y20:AC20"/>
    <mergeCell ref="AD20:AH20"/>
    <mergeCell ref="Y27:AC27"/>
    <mergeCell ref="AD27:AH27"/>
    <mergeCell ref="V21:X21"/>
    <mergeCell ref="Y21:AC21"/>
    <mergeCell ref="AD21:AH21"/>
    <mergeCell ref="V22:X22"/>
    <mergeCell ref="Y22:AC22"/>
    <mergeCell ref="AD22:AH22"/>
    <mergeCell ref="V23:X23"/>
    <mergeCell ref="Y23:AC23"/>
    <mergeCell ref="AD23:AH23"/>
    <mergeCell ref="Y24:AC24"/>
    <mergeCell ref="AD24:AH24"/>
    <mergeCell ref="V27:X27"/>
    <mergeCell ref="V11:X11"/>
    <mergeCell ref="T2:Z3"/>
    <mergeCell ref="AB2:AH3"/>
    <mergeCell ref="N9:O9"/>
    <mergeCell ref="J8:K8"/>
    <mergeCell ref="L8:M8"/>
    <mergeCell ref="J9:K9"/>
    <mergeCell ref="L9:M9"/>
    <mergeCell ref="P6:R6"/>
    <mergeCell ref="X5:Y5"/>
    <mergeCell ref="X6:Y6"/>
    <mergeCell ref="X7:Y7"/>
    <mergeCell ref="X8:Y8"/>
    <mergeCell ref="X9:Y9"/>
    <mergeCell ref="X10:Y10"/>
    <mergeCell ref="N10:O10"/>
    <mergeCell ref="G11:K11"/>
    <mergeCell ref="L11:M11"/>
    <mergeCell ref="N11:O11"/>
    <mergeCell ref="P11:Q11"/>
    <mergeCell ref="J10:M10"/>
    <mergeCell ref="P10:R10"/>
    <mergeCell ref="T11:U11"/>
    <mergeCell ref="L6:M6"/>
    <mergeCell ref="B30:D30"/>
    <mergeCell ref="Q30:S30"/>
    <mergeCell ref="T30:U30"/>
    <mergeCell ref="B31:D31"/>
    <mergeCell ref="Q31:S31"/>
    <mergeCell ref="T31:U31"/>
    <mergeCell ref="B28:D28"/>
    <mergeCell ref="Q28:S28"/>
    <mergeCell ref="T28:U28"/>
    <mergeCell ref="B29:D29"/>
    <mergeCell ref="Q29:S29"/>
    <mergeCell ref="T29:U29"/>
    <mergeCell ref="V28:X28"/>
    <mergeCell ref="Y28:AC28"/>
    <mergeCell ref="AD28:AH28"/>
    <mergeCell ref="V29:X29"/>
    <mergeCell ref="Y29:AC29"/>
    <mergeCell ref="AD29:AH29"/>
    <mergeCell ref="E2:F2"/>
    <mergeCell ref="G2:I2"/>
    <mergeCell ref="V33:X33"/>
    <mergeCell ref="Y33:AC33"/>
    <mergeCell ref="AD33:AH33"/>
    <mergeCell ref="Y13:AC13"/>
    <mergeCell ref="AD13:AH13"/>
    <mergeCell ref="V13:X13"/>
    <mergeCell ref="V14:X14"/>
    <mergeCell ref="Y14:AC14"/>
    <mergeCell ref="AD14:AH14"/>
    <mergeCell ref="Y15:AC15"/>
    <mergeCell ref="AD15:AH15"/>
    <mergeCell ref="V15:X15"/>
    <mergeCell ref="V30:X30"/>
    <mergeCell ref="Y30:AC30"/>
    <mergeCell ref="AD30:AH30"/>
    <mergeCell ref="V31:X31"/>
    <mergeCell ref="Y31:AC31"/>
    <mergeCell ref="AD31:AH31"/>
    <mergeCell ref="V26:X26"/>
    <mergeCell ref="Y26:AC26"/>
    <mergeCell ref="AD26:AH26"/>
    <mergeCell ref="V24:X24"/>
  </mergeCells>
  <dataValidations count="1105">
    <dataValidation allowBlank="1" showDropDown="0" showInputMessage="1" showErrorMessage="1" sqref="A2"/>
    <dataValidation allowBlank="1" showDropDown="0" showInputMessage="1" showErrorMessage="1" sqref="G3"/>
    <dataValidation allowBlank="1" showDropDown="0" showInputMessage="1" showErrorMessage="1" sqref="G4"/>
    <dataValidation allowBlank="1" showDropDown="0" showInputMessage="1" showErrorMessage="1" sqref="V12"/>
    <dataValidation allowBlank="1" showDropDown="0" showInputMessage="1" showErrorMessage="1" sqref="W12"/>
    <dataValidation allowBlank="1" showDropDown="0" showInputMessage="1" showErrorMessage="1" sqref="X12"/>
    <dataValidation allowBlank="1" showDropDown="0" showInputMessage="1" showErrorMessage="1" sqref="Y12"/>
    <dataValidation allowBlank="1" showDropDown="0" showInputMessage="1" showErrorMessage="1" sqref="Z12"/>
    <dataValidation allowBlank="1" showDropDown="0" showInputMessage="1" showErrorMessage="1" sqref="W8"/>
    <dataValidation allowBlank="1" showDropDown="0" showInputMessage="1" showErrorMessage="1" sqref="W9"/>
    <dataValidation allowBlank="1" showDropDown="0" showInputMessage="1" showErrorMessage="1" sqref="W10"/>
    <dataValidation allowBlank="1" showDropDown="0" showInputMessage="1" showErrorMessage="1" sqref="X8"/>
    <dataValidation allowBlank="1" showDropDown="0" showInputMessage="1" showErrorMessage="1" sqref="X9"/>
    <dataValidation allowBlank="1" showDropDown="0" showInputMessage="1" showErrorMessage="1" sqref="X10"/>
    <dataValidation allowBlank="1" showDropDown="0" showInputMessage="1" showErrorMessage="1" sqref="J8"/>
    <dataValidation allowBlank="1" showDropDown="0" showInputMessage="1" showErrorMessage="1" sqref="J9"/>
    <dataValidation allowBlank="1" showDropDown="0" showInputMessage="1" showErrorMessage="1" sqref="K8"/>
    <dataValidation allowBlank="1" showDropDown="0" showInputMessage="1" showErrorMessage="1" sqref="K9"/>
    <dataValidation allowBlank="1" showDropDown="0" showInputMessage="1" showErrorMessage="1" sqref="L8"/>
    <dataValidation allowBlank="1" showDropDown="0" showInputMessage="1" showErrorMessage="1" sqref="L9"/>
    <dataValidation allowBlank="1" showDropDown="0" showInputMessage="1" showErrorMessage="1" sqref="M8"/>
    <dataValidation allowBlank="1" showDropDown="0" showInputMessage="1" showErrorMessage="1" sqref="M9"/>
    <dataValidation allowBlank="1" showDropDown="0" showInputMessage="1" showErrorMessage="1" sqref="C2"/>
    <dataValidation allowBlank="1" showDropDown="0" showInputMessage="1" showErrorMessage="1" sqref="D2"/>
    <dataValidation allowBlank="1" showDropDown="0" showInputMessage="1" showErrorMessage="1" sqref="E2"/>
    <dataValidation allowBlank="1" showDropDown="0" showInputMessage="1" showErrorMessage="1" sqref="L2"/>
    <dataValidation allowBlank="1" showDropDown="0" showInputMessage="1" showErrorMessage="1" sqref="M2"/>
    <dataValidation allowBlank="1" showDropDown="0" showInputMessage="1" showErrorMessage="1" sqref="N2"/>
    <dataValidation allowBlank="1" showDropDown="0" showInputMessage="1" showErrorMessage="1" sqref="O2"/>
    <dataValidation allowBlank="1" showDropDown="0" showInputMessage="1" showErrorMessage="1" sqref="P2"/>
    <dataValidation allowBlank="1" showDropDown="0" showInputMessage="1" showErrorMessage="1" sqref="G12"/>
    <dataValidation allowBlank="1" showDropDown="0" showInputMessage="1" showErrorMessage="1" sqref="H12"/>
    <dataValidation allowBlank="1" showDropDown="0" showInputMessage="1" showErrorMessage="1" sqref="I12"/>
    <dataValidation allowBlank="1" showDropDown="0" showInputMessage="1" showErrorMessage="1" sqref="J12"/>
    <dataValidation allowBlank="1" showDropDown="0" showInputMessage="1" showErrorMessage="1" sqref="K12"/>
    <dataValidation allowBlank="1" showDropDown="0" showInputMessage="1" showErrorMessage="1" sqref="L12"/>
    <dataValidation allowBlank="1" showDropDown="0" showInputMessage="1" showErrorMessage="1" sqref="M12"/>
    <dataValidation allowBlank="1" showDropDown="0" showInputMessage="1" showErrorMessage="1" sqref="N12"/>
    <dataValidation allowBlank="1" showDropDown="0" showInputMessage="1" showErrorMessage="1" sqref="O12"/>
    <dataValidation allowBlank="1" showDropDown="0" showInputMessage="1" showErrorMessage="1" sqref="P12"/>
    <dataValidation allowBlank="1" showDropDown="0" showInputMessage="1" showErrorMessage="1" sqref="Q12"/>
    <dataValidation allowBlank="1" showDropDown="0" showInputMessage="1" showErrorMessage="1" sqref="R12"/>
    <dataValidation allowBlank="1" showDropDown="0" showInputMessage="1" showErrorMessage="1" sqref="Z7"/>
    <dataValidation allowBlank="1" showDropDown="0" showInputMessage="1" showErrorMessage="1" sqref="AA7"/>
    <dataValidation allowBlank="1" showDropDown="0" showInputMessage="1" showErrorMessage="1" sqref="G9"/>
    <dataValidation allowBlank="1" showDropDown="0" showInputMessage="1" showErrorMessage="1" sqref="G10"/>
    <dataValidation allowBlank="1" showDropDown="0" showInputMessage="1" showErrorMessage="1" sqref="N11"/>
    <dataValidation allowBlank="1" showDropDown="0" showInputMessage="1" showErrorMessage="1" sqref="O11"/>
    <dataValidation allowBlank="1" showDropDown="0" showInputMessage="1" showErrorMessage="1" sqref="P11"/>
    <dataValidation allowBlank="1" showDropDown="0" showInputMessage="1" showErrorMessage="1" sqref="Q11"/>
    <dataValidation allowBlank="1" showDropDown="0" showInputMessage="1" showErrorMessage="1" sqref="R11"/>
    <dataValidation allowBlank="1" showDropDown="0" showInputMessage="1" showErrorMessage="1" sqref="G11"/>
    <dataValidation allowBlank="1" showDropDown="0" showInputMessage="1" showErrorMessage="1" sqref="H11"/>
    <dataValidation allowBlank="1" showDropDown="0" showInputMessage="1" showErrorMessage="1" sqref="I11"/>
    <dataValidation allowBlank="1" showDropDown="0" showInputMessage="1" showErrorMessage="1" sqref="J11"/>
    <dataValidation allowBlank="1" showDropDown="0" showInputMessage="1" showErrorMessage="1" sqref="K11"/>
    <dataValidation allowBlank="1" showDropDown="0" showInputMessage="1" showErrorMessage="1" sqref="S11"/>
    <dataValidation allowBlank="1" showDropDown="0" showInputMessage="1" showErrorMessage="1" sqref="S12"/>
    <dataValidation allowBlank="1" showDropDown="0" showInputMessage="1" showErrorMessage="1" sqref="Y4"/>
    <dataValidation allowBlank="1" showDropDown="0" showInputMessage="1" showErrorMessage="1" sqref="H7"/>
    <dataValidation allowBlank="1" showDropDown="0" showInputMessage="1" showErrorMessage="1" sqref="I7"/>
    <dataValidation allowBlank="1" showDropDown="0" showInputMessage="1" showErrorMessage="1" sqref="J7"/>
    <dataValidation allowBlank="1" showDropDown="0" showInputMessage="1" showErrorMessage="1" sqref="K7"/>
    <dataValidation allowBlank="1" showDropDown="0" showInputMessage="1" showErrorMessage="1" sqref="L7"/>
    <dataValidation allowBlank="1" showDropDown="0" showInputMessage="1" showErrorMessage="1" sqref="M7"/>
    <dataValidation allowBlank="1" showDropDown="0" showInputMessage="1" showErrorMessage="1" sqref="P7"/>
    <dataValidation allowBlank="1" showDropDown="0" showInputMessage="1" showErrorMessage="1" sqref="P8"/>
    <dataValidation allowBlank="1" showDropDown="0" showInputMessage="1" showErrorMessage="1" sqref="P9"/>
    <dataValidation allowBlank="1" showDropDown="0" showInputMessage="1" showErrorMessage="1" sqref="Q9"/>
    <dataValidation allowBlank="1" showDropDown="0" showInputMessage="1" showErrorMessage="1" sqref="R9"/>
    <dataValidation allowBlank="1" showDropDown="0" showInputMessage="1" showErrorMessage="1" sqref="S8"/>
    <dataValidation allowBlank="1" showDropDown="0" showInputMessage="1" showErrorMessage="1" sqref="S9"/>
    <dataValidation allowBlank="1" showDropDown="0" showInputMessage="1" showErrorMessage="1" sqref="J10"/>
    <dataValidation allowBlank="1" showDropDown="0" showInputMessage="1" showErrorMessage="1" sqref="K10"/>
    <dataValidation allowBlank="1" showDropDown="0" showInputMessage="1" showErrorMessage="1" sqref="L10"/>
    <dataValidation allowBlank="1" showDropDown="0" showInputMessage="1" showErrorMessage="1" sqref="M10"/>
    <dataValidation allowBlank="1" showDropDown="0" showInputMessage="1" showErrorMessage="1" sqref="N10"/>
    <dataValidation allowBlank="1" showDropDown="0" showInputMessage="1" showErrorMessage="1" sqref="O10"/>
    <dataValidation allowBlank="1" showDropDown="0" showInputMessage="1" showErrorMessage="1" sqref="P10"/>
    <dataValidation allowBlank="1" showDropDown="0" showInputMessage="1" showErrorMessage="1" sqref="Q10"/>
    <dataValidation allowBlank="1" showDropDown="0" showInputMessage="1" showErrorMessage="1" sqref="R10"/>
    <dataValidation allowBlank="1" showDropDown="0" showInputMessage="1" showErrorMessage="1" sqref="S10"/>
    <dataValidation allowBlank="1" showDropDown="0" showInputMessage="1" showErrorMessage="1" sqref="AA8"/>
    <dataValidation allowBlank="1" showDropDown="0" showInputMessage="1" showErrorMessage="1" sqref="AA9"/>
    <dataValidation allowBlank="1" showDropDown="0" showInputMessage="1" showErrorMessage="1" sqref="AA10"/>
    <dataValidation allowBlank="1" showDropDown="0" showInputMessage="1" showErrorMessage="1" sqref="AA11"/>
    <dataValidation allowBlank="1" showDropDown="0" showInputMessage="1" showErrorMessage="1" sqref="AA12"/>
    <dataValidation allowBlank="1" showDropDown="0" showInputMessage="1" showErrorMessage="1" sqref="T8"/>
    <dataValidation allowBlank="1" showDropDown="0" showInputMessage="1" showErrorMessage="1" sqref="T9"/>
    <dataValidation allowBlank="1" showDropDown="0" showInputMessage="1" showErrorMessage="1" sqref="T10"/>
    <dataValidation allowBlank="1" showDropDown="0" showInputMessage="1" showErrorMessage="1" sqref="T11"/>
    <dataValidation allowBlank="1" showDropDown="0" showInputMessage="1" showErrorMessage="1" sqref="T12"/>
    <dataValidation allowBlank="1" showDropDown="0" showInputMessage="1" showErrorMessage="1" sqref="U8"/>
    <dataValidation allowBlank="1" showDropDown="0" showInputMessage="1" showErrorMessage="1" sqref="U9"/>
    <dataValidation allowBlank="1" showDropDown="0" showInputMessage="1" showErrorMessage="1" sqref="U10"/>
    <dataValidation allowBlank="1" showDropDown="0" showInputMessage="1" showErrorMessage="1" sqref="V8"/>
    <dataValidation allowBlank="1" showDropDown="0" showInputMessage="1" showErrorMessage="1" sqref="V9"/>
    <dataValidation allowBlank="1" showDropDown="0" showInputMessage="1" showErrorMessage="1" sqref="V10"/>
    <dataValidation allowBlank="1" showDropDown="0" showInputMessage="1" showErrorMessage="1" sqref="V11"/>
    <dataValidation allowBlank="1" showDropDown="0" showInputMessage="1" showErrorMessage="1" sqref="Z8"/>
    <dataValidation allowBlank="1" showDropDown="0" showInputMessage="1" showErrorMessage="1" sqref="Z9"/>
    <dataValidation allowBlank="1" showDropDown="0" showInputMessage="1" showErrorMessage="1" sqref="Z10"/>
    <dataValidation allowBlank="1" showDropDown="0" showInputMessage="1" showErrorMessage="1" sqref="Z11"/>
    <dataValidation allowBlank="1" showDropDown="0" showInputMessage="1" showErrorMessage="1" sqref="S2"/>
    <dataValidation allowBlank="1" showDropDown="0" showInputMessage="1" showErrorMessage="1" sqref="T2"/>
    <dataValidation allowBlank="1" showDropDown="0" showInputMessage="1" showErrorMessage="1" sqref="AB4"/>
    <dataValidation allowBlank="1" showDropDown="0" showInputMessage="1" showErrorMessage="1" sqref="AB5"/>
    <dataValidation allowBlank="1" showDropDown="0" showInputMessage="1" showErrorMessage="1" sqref="AB6"/>
    <dataValidation allowBlank="1" showDropDown="0" showInputMessage="1" showErrorMessage="1" sqref="AB7"/>
    <dataValidation allowBlank="1" showDropDown="0" showInputMessage="1" showErrorMessage="1" sqref="AB8"/>
    <dataValidation allowBlank="1" showDropDown="0" showInputMessage="1" showErrorMessage="1" sqref="AB9"/>
    <dataValidation allowBlank="1" showDropDown="0" showInputMessage="1" showErrorMessage="1" sqref="AB10"/>
    <dataValidation allowBlank="1" showDropDown="0" showInputMessage="1" showErrorMessage="1" sqref="AB11"/>
    <dataValidation allowBlank="1" showDropDown="0" showInputMessage="1" showErrorMessage="1" sqref="AB12"/>
    <dataValidation allowBlank="1" showDropDown="0" showInputMessage="1" showErrorMessage="1" sqref="AC4"/>
    <dataValidation allowBlank="1" showDropDown="0" showInputMessage="1" showErrorMessage="1" sqref="AC5"/>
    <dataValidation allowBlank="1" showDropDown="0" showInputMessage="1" showErrorMessage="1" sqref="AC6"/>
    <dataValidation allowBlank="1" showDropDown="0" showInputMessage="1" showErrorMessage="1" sqref="AC7"/>
    <dataValidation allowBlank="1" showDropDown="0" showInputMessage="1" showErrorMessage="1" sqref="AC8"/>
    <dataValidation allowBlank="1" showDropDown="0" showInputMessage="1" showErrorMessage="1" sqref="AC9"/>
    <dataValidation allowBlank="1" showDropDown="0" showInputMessage="1" showErrorMessage="1" sqref="AC10"/>
    <dataValidation allowBlank="1" showDropDown="0" showInputMessage="1" showErrorMessage="1" sqref="AC11"/>
    <dataValidation allowBlank="1" showDropDown="0" showInputMessage="1" showErrorMessage="1" sqref="AC12"/>
    <dataValidation allowBlank="1" showDropDown="0" showInputMessage="1" showErrorMessage="1" sqref="AD4"/>
    <dataValidation allowBlank="1" showDropDown="0" showInputMessage="1" showErrorMessage="1" sqref="AD5"/>
    <dataValidation allowBlank="1" showDropDown="0" showInputMessage="1" showErrorMessage="1" sqref="AD6"/>
    <dataValidation allowBlank="1" showDropDown="0" showInputMessage="1" showErrorMessage="1" sqref="AD7"/>
    <dataValidation allowBlank="1" showDropDown="0" showInputMessage="1" showErrorMessage="1" sqref="AD8"/>
    <dataValidation allowBlank="1" showDropDown="0" showInputMessage="1" showErrorMessage="1" sqref="AD9"/>
    <dataValidation allowBlank="1" showDropDown="0" showInputMessage="1" showErrorMessage="1" sqref="AD10"/>
    <dataValidation allowBlank="1" showDropDown="0" showInputMessage="1" showErrorMessage="1" sqref="AD11"/>
    <dataValidation allowBlank="1" showDropDown="0" showInputMessage="1" showErrorMessage="1" sqref="AD12"/>
    <dataValidation allowBlank="1" showDropDown="0" showInputMessage="1" showErrorMessage="1" sqref="AE4"/>
    <dataValidation allowBlank="1" showDropDown="0" showInputMessage="1" showErrorMessage="1" sqref="AE5"/>
    <dataValidation allowBlank="1" showDropDown="0" showInputMessage="1" showErrorMessage="1" sqref="AE6"/>
    <dataValidation allowBlank="1" showDropDown="0" showInputMessage="1" showErrorMessage="1" sqref="AE7"/>
    <dataValidation allowBlank="1" showDropDown="0" showInputMessage="1" showErrorMessage="1" sqref="AE8"/>
    <dataValidation allowBlank="1" showDropDown="0" showInputMessage="1" showErrorMessage="1" sqref="AE9"/>
    <dataValidation allowBlank="1" showDropDown="0" showInputMessage="1" showErrorMessage="1" sqref="AE10"/>
    <dataValidation allowBlank="1" showDropDown="0" showInputMessage="1" showErrorMessage="1" sqref="AE11"/>
    <dataValidation allowBlank="1" showDropDown="0" showInputMessage="1" showErrorMessage="1" sqref="AE12"/>
    <dataValidation allowBlank="1" showDropDown="0" showInputMessage="1" showErrorMessage="1" sqref="AF4"/>
    <dataValidation allowBlank="1" showDropDown="0" showInputMessage="1" showErrorMessage="1" sqref="AF5"/>
    <dataValidation allowBlank="1" showDropDown="0" showInputMessage="1" showErrorMessage="1" sqref="AF6"/>
    <dataValidation allowBlank="1" showDropDown="0" showInputMessage="1" showErrorMessage="1" sqref="AF7"/>
    <dataValidation allowBlank="1" showDropDown="0" showInputMessage="1" showErrorMessage="1" sqref="AF8"/>
    <dataValidation allowBlank="1" showDropDown="0" showInputMessage="1" showErrorMessage="1" sqref="AF9"/>
    <dataValidation allowBlank="1" showDropDown="0" showInputMessage="1" showErrorMessage="1" sqref="AF10"/>
    <dataValidation allowBlank="1" showDropDown="0" showInputMessage="1" showErrorMessage="1" sqref="AF11"/>
    <dataValidation allowBlank="1" showDropDown="0" showInputMessage="1" showErrorMessage="1" sqref="AF12"/>
    <dataValidation allowBlank="1" showDropDown="0" showInputMessage="1" showErrorMessage="1" sqref="AG4"/>
    <dataValidation allowBlank="1" showDropDown="0" showInputMessage="1" showErrorMessage="1" sqref="AG5"/>
    <dataValidation allowBlank="1" showDropDown="0" showInputMessage="1" showErrorMessage="1" sqref="AG6"/>
    <dataValidation allowBlank="1" showDropDown="0" showInputMessage="1" showErrorMessage="1" sqref="AG7"/>
    <dataValidation allowBlank="1" showDropDown="0" showInputMessage="1" showErrorMessage="1" sqref="AG8"/>
    <dataValidation allowBlank="1" showDropDown="0" showInputMessage="1" showErrorMessage="1" sqref="AG9"/>
    <dataValidation allowBlank="1" showDropDown="0" showInputMessage="1" showErrorMessage="1" sqref="AG10"/>
    <dataValidation allowBlank="1" showDropDown="0" showInputMessage="1" showErrorMessage="1" sqref="AG11"/>
    <dataValidation allowBlank="1" showDropDown="0" showInputMessage="1" showErrorMessage="1" sqref="AG12"/>
    <dataValidation allowBlank="1" showDropDown="0" showInputMessage="1" showErrorMessage="1" sqref="AH4"/>
    <dataValidation allowBlank="1" showDropDown="0" showInputMessage="1" showErrorMessage="1" sqref="AH5"/>
    <dataValidation allowBlank="1" showDropDown="0" showInputMessage="1" showErrorMessage="1" sqref="AH6"/>
    <dataValidation allowBlank="1" showDropDown="0" showInputMessage="1" showErrorMessage="1" sqref="AH7"/>
    <dataValidation allowBlank="1" showDropDown="0" showInputMessage="1" showErrorMessage="1" sqref="AH8"/>
    <dataValidation allowBlank="1" showDropDown="0" showInputMessage="1" showErrorMessage="1" sqref="AH9"/>
    <dataValidation allowBlank="1" showDropDown="0" showInputMessage="1" showErrorMessage="1" sqref="AH10"/>
    <dataValidation allowBlank="1" showDropDown="0" showInputMessage="1" showErrorMessage="1" sqref="AH11"/>
    <dataValidation allowBlank="1" showDropDown="0" showInputMessage="1" showErrorMessage="1" sqref="AH12"/>
    <dataValidation allowBlank="1" showDropDown="0" showInputMessage="1" showErrorMessage="1" sqref="AA3"/>
    <dataValidation allowBlank="1" showDropDown="0" showInputMessage="1" showErrorMessage="1" sqref="AA4"/>
    <dataValidation allowBlank="1" showDropDown="0" showInputMessage="1" showErrorMessage="1" sqref="AA5"/>
    <dataValidation allowBlank="1" showDropDown="0" showInputMessage="1" showErrorMessage="1" sqref="AA6"/>
    <dataValidation allowBlank="1" showDropDown="0" showInputMessage="1" showErrorMessage="1" sqref="AA2"/>
    <dataValidation allowBlank="1" showDropDown="0" showInputMessage="1" showErrorMessage="1" sqref="AB2"/>
    <dataValidation allowBlank="1" showDropDown="0" showInputMessage="1" showErrorMessage="1" sqref="H3"/>
    <dataValidation allowBlank="1" showDropDown="0" showInputMessage="1" showErrorMessage="1" sqref="H4"/>
    <dataValidation allowBlank="1" showDropDown="0" showInputMessage="1" showErrorMessage="1" sqref="H5"/>
    <dataValidation allowBlank="1" showDropDown="0" showInputMessage="1" showErrorMessage="1" sqref="H6"/>
    <dataValidation allowBlank="1" showDropDown="0" showInputMessage="1" showErrorMessage="1" sqref="I3"/>
    <dataValidation allowBlank="1" showDropDown="0" showInputMessage="1" showErrorMessage="1" sqref="I4"/>
    <dataValidation allowBlank="1" showDropDown="0" showInputMessage="1" showErrorMessage="1" sqref="I5"/>
    <dataValidation allowBlank="1" showDropDown="0" showInputMessage="1" showErrorMessage="1" sqref="I6"/>
    <dataValidation allowBlank="1" showDropDown="0" showInputMessage="1" showErrorMessage="1" sqref="J3"/>
    <dataValidation allowBlank="1" showDropDown="0" showInputMessage="1" showErrorMessage="1" sqref="J4"/>
    <dataValidation allowBlank="1" showDropDown="0" showInputMessage="1" showErrorMessage="1" sqref="J5"/>
    <dataValidation allowBlank="1" showDropDown="0" showInputMessage="1" showErrorMessage="1" sqref="J6"/>
    <dataValidation allowBlank="1" showDropDown="0" showInputMessage="1" showErrorMessage="1" sqref="K3"/>
    <dataValidation allowBlank="1" showDropDown="0" showInputMessage="1" showErrorMessage="1" sqref="K4"/>
    <dataValidation allowBlank="1" showDropDown="0" showInputMessage="1" showErrorMessage="1" sqref="K5"/>
    <dataValidation allowBlank="1" showDropDown="0" showInputMessage="1" showErrorMessage="1" sqref="K6"/>
    <dataValidation allowBlank="1" showDropDown="0" showInputMessage="1" showErrorMessage="1" sqref="L3"/>
    <dataValidation allowBlank="1" showDropDown="0" showInputMessage="1" showErrorMessage="1" sqref="L4"/>
    <dataValidation allowBlank="1" showDropDown="0" showInputMessage="1" showErrorMessage="1" sqref="L5"/>
    <dataValidation allowBlank="1" showDropDown="0" showInputMessage="1" showErrorMessage="1" sqref="L6"/>
    <dataValidation allowBlank="1" showDropDown="0" showInputMessage="1" showErrorMessage="1" sqref="M3"/>
    <dataValidation allowBlank="1" showDropDown="0" showInputMessage="1" showErrorMessage="1" sqref="M4"/>
    <dataValidation allowBlank="1" showDropDown="0" showInputMessage="1" showErrorMessage="1" sqref="M5"/>
    <dataValidation allowBlank="1" showDropDown="0" showInputMessage="1" showErrorMessage="1" sqref="M6"/>
    <dataValidation allowBlank="1" showDropDown="0" showInputMessage="1" showErrorMessage="1" sqref="N3"/>
    <dataValidation allowBlank="1" showDropDown="0" showInputMessage="1" showErrorMessage="1" sqref="N4"/>
    <dataValidation allowBlank="1" showDropDown="0" showInputMessage="1" showErrorMessage="1" sqref="N5"/>
    <dataValidation allowBlank="1" showDropDown="0" showInputMessage="1" showErrorMessage="1" sqref="N6"/>
    <dataValidation allowBlank="1" showDropDown="0" showInputMessage="1" showErrorMessage="1" sqref="O3"/>
    <dataValidation allowBlank="1" showDropDown="0" showInputMessage="1" showErrorMessage="1" sqref="O4"/>
    <dataValidation allowBlank="1" showDropDown="0" showInputMessage="1" showErrorMessage="1" sqref="O5"/>
    <dataValidation allowBlank="1" showDropDown="0" showInputMessage="1" showErrorMessage="1" sqref="O6"/>
    <dataValidation allowBlank="1" showDropDown="0" showInputMessage="1" showErrorMessage="1" sqref="P3"/>
    <dataValidation allowBlank="1" showDropDown="0" showInputMessage="1" showErrorMessage="1" sqref="P4"/>
    <dataValidation allowBlank="1" showDropDown="0" showInputMessage="1" showErrorMessage="1" sqref="P5"/>
    <dataValidation allowBlank="1" showDropDown="0" showInputMessage="1" showErrorMessage="1" sqref="P6"/>
    <dataValidation allowBlank="1" showDropDown="0" showInputMessage="1" showErrorMessage="1" sqref="Q3"/>
    <dataValidation allowBlank="1" showDropDown="0" showInputMessage="1" showErrorMessage="1" sqref="Q4"/>
    <dataValidation allowBlank="1" showDropDown="0" showInputMessage="1" showErrorMessage="1" sqref="Q5"/>
    <dataValidation allowBlank="1" showDropDown="0" showInputMessage="1" showErrorMessage="1" sqref="Q6"/>
    <dataValidation allowBlank="1" showDropDown="0" showInputMessage="1" showErrorMessage="1" sqref="R3"/>
    <dataValidation allowBlank="1" showDropDown="0" showInputMessage="1" showErrorMessage="1" sqref="R4"/>
    <dataValidation allowBlank="1" showDropDown="0" showInputMessage="1" showErrorMessage="1" sqref="R5"/>
    <dataValidation allowBlank="1" showDropDown="0" showInputMessage="1" showErrorMessage="1" sqref="R6"/>
    <dataValidation allowBlank="1" showDropDown="0" showInputMessage="1" showErrorMessage="1" sqref="S3"/>
    <dataValidation allowBlank="1" showDropDown="0" showInputMessage="1" showErrorMessage="1" sqref="S4"/>
    <dataValidation allowBlank="1" showDropDown="0" showInputMessage="1" showErrorMessage="1" sqref="S5"/>
    <dataValidation allowBlank="1" showDropDown="0" showInputMessage="1" showErrorMessage="1" sqref="S6"/>
    <dataValidation allowBlank="1" showDropDown="0" showInputMessage="1" showErrorMessage="1" sqref="A3"/>
    <dataValidation allowBlank="1" showDropDown="0" showInputMessage="1" showErrorMessage="1" sqref="A4"/>
    <dataValidation allowBlank="1" showDropDown="0" showInputMessage="1" showErrorMessage="1" sqref="A5"/>
    <dataValidation allowBlank="1" showDropDown="0" showInputMessage="1" showErrorMessage="1" sqref="A6"/>
    <dataValidation allowBlank="1" showDropDown="0" showInputMessage="1" showErrorMessage="1" sqref="A7"/>
    <dataValidation allowBlank="1" showDropDown="0" showInputMessage="1" showErrorMessage="1" sqref="A8"/>
    <dataValidation allowBlank="1" showDropDown="0" showInputMessage="1" showErrorMessage="1" sqref="A9"/>
    <dataValidation allowBlank="1" showDropDown="0" showInputMessage="1" showErrorMessage="1" sqref="A10"/>
    <dataValidation allowBlank="1" showDropDown="0" showInputMessage="1" showErrorMessage="1" sqref="A11"/>
    <dataValidation allowBlank="1" showDropDown="0" showInputMessage="1" showErrorMessage="1" sqref="A12"/>
    <dataValidation allowBlank="1" showDropDown="0" showInputMessage="1" showErrorMessage="1" sqref="B3"/>
    <dataValidation allowBlank="1" showDropDown="0" showInputMessage="1" showErrorMessage="1" sqref="B4"/>
    <dataValidation allowBlank="1" showDropDown="0" showInputMessage="1" showErrorMessage="1" sqref="B5"/>
    <dataValidation allowBlank="1" showDropDown="0" showInputMessage="1" showErrorMessage="1" sqref="B6"/>
    <dataValidation allowBlank="1" showDropDown="0" showInputMessage="1" showErrorMessage="1" sqref="B7"/>
    <dataValidation allowBlank="1" showDropDown="0" showInputMessage="1" showErrorMessage="1" sqref="B8"/>
    <dataValidation allowBlank="1" showDropDown="0" showInputMessage="1" showErrorMessage="1" sqref="B9"/>
    <dataValidation allowBlank="1" showDropDown="0" showInputMessage="1" showErrorMessage="1" sqref="B10"/>
    <dataValidation allowBlank="1" showDropDown="0" showInputMessage="1" showErrorMessage="1" sqref="B11"/>
    <dataValidation allowBlank="1" showDropDown="0" showInputMessage="1" showErrorMessage="1" sqref="B12"/>
    <dataValidation allowBlank="1" showDropDown="0" showInputMessage="1" showErrorMessage="1" sqref="C3"/>
    <dataValidation allowBlank="1" showDropDown="0" showInputMessage="1" showErrorMessage="1" sqref="C4"/>
    <dataValidation allowBlank="1" showDropDown="0" showInputMessage="1" showErrorMessage="1" sqref="C5"/>
    <dataValidation allowBlank="1" showDropDown="0" showInputMessage="1" showErrorMessage="1" sqref="C6"/>
    <dataValidation allowBlank="1" showDropDown="0" showInputMessage="1" showErrorMessage="1" sqref="C7"/>
    <dataValidation allowBlank="1" showDropDown="0" showInputMessage="1" showErrorMessage="1" sqref="C8"/>
    <dataValidation allowBlank="1" showDropDown="0" showInputMessage="1" showErrorMessage="1" sqref="C9"/>
    <dataValidation allowBlank="1" showDropDown="0" showInputMessage="1" showErrorMessage="1" sqref="C10"/>
    <dataValidation allowBlank="1" showDropDown="0" showInputMessage="1" showErrorMessage="1" sqref="C11"/>
    <dataValidation allowBlank="1" showDropDown="0" showInputMessage="1" showErrorMessage="1" sqref="C12"/>
    <dataValidation allowBlank="1" showDropDown="0" showInputMessage="1" showErrorMessage="1" sqref="D3"/>
    <dataValidation allowBlank="1" showDropDown="0" showInputMessage="1" showErrorMessage="1" sqref="D4"/>
    <dataValidation allowBlank="1" showDropDown="0" showInputMessage="1" showErrorMessage="1" sqref="D5"/>
    <dataValidation allowBlank="1" showDropDown="0" showInputMessage="1" showErrorMessage="1" sqref="D6"/>
    <dataValidation allowBlank="1" showDropDown="0" showInputMessage="1" showErrorMessage="1" sqref="D7"/>
    <dataValidation allowBlank="1" showDropDown="0" showInputMessage="1" showErrorMessage="1" sqref="D8"/>
    <dataValidation allowBlank="1" showDropDown="0" showInputMessage="1" showErrorMessage="1" sqref="D9"/>
    <dataValidation allowBlank="1" showDropDown="0" showInputMessage="1" showErrorMessage="1" sqref="D10"/>
    <dataValidation allowBlank="1" showDropDown="0" showInputMessage="1" showErrorMessage="1" sqref="D11"/>
    <dataValidation allowBlank="1" showDropDown="0" showInputMessage="1" showErrorMessage="1" sqref="D12"/>
    <dataValidation allowBlank="1" showDropDown="0" showInputMessage="1" showErrorMessage="1" sqref="E3"/>
    <dataValidation allowBlank="1" showDropDown="0" showInputMessage="1" showErrorMessage="1" sqref="E4"/>
    <dataValidation allowBlank="1" showDropDown="0" showInputMessage="1" showErrorMessage="1" sqref="E5"/>
    <dataValidation allowBlank="1" showDropDown="0" showInputMessage="1" showErrorMessage="1" sqref="E6"/>
    <dataValidation allowBlank="1" showDropDown="0" showInputMessage="1" showErrorMessage="1" sqref="E7"/>
    <dataValidation allowBlank="1" showDropDown="0" showInputMessage="1" showErrorMessage="1" sqref="E8"/>
    <dataValidation allowBlank="1" showDropDown="0" showInputMessage="1" showErrorMessage="1" sqref="E9"/>
    <dataValidation allowBlank="1" showDropDown="0" showInputMessage="1" showErrorMessage="1" sqref="E10"/>
    <dataValidation allowBlank="1" showDropDown="0" showInputMessage="1" showErrorMessage="1" sqref="E11"/>
    <dataValidation allowBlank="1" showDropDown="0" showInputMessage="1" showErrorMessage="1" sqref="E12"/>
    <dataValidation allowBlank="1" showDropDown="0" showInputMessage="1" showErrorMessage="1" sqref="F3"/>
    <dataValidation allowBlank="1" showDropDown="0" showInputMessage="1" showErrorMessage="1" sqref="F4"/>
    <dataValidation allowBlank="1" showDropDown="0" showInputMessage="1" showErrorMessage="1" sqref="F5"/>
    <dataValidation allowBlank="1" showDropDown="0" showInputMessage="1" showErrorMessage="1" sqref="F6"/>
    <dataValidation allowBlank="1" showDropDown="0" showInputMessage="1" showErrorMessage="1" sqref="F7"/>
    <dataValidation allowBlank="1" showDropDown="0" showInputMessage="1" showErrorMessage="1" sqref="F8"/>
    <dataValidation allowBlank="1" showDropDown="0" showInputMessage="1" showErrorMessage="1" sqref="F9"/>
    <dataValidation allowBlank="1" showDropDown="0" showInputMessage="1" showErrorMessage="1" sqref="F10"/>
    <dataValidation allowBlank="1" showDropDown="0" showInputMessage="1" showErrorMessage="1" sqref="F11"/>
    <dataValidation allowBlank="1" showDropDown="0" showInputMessage="1" showErrorMessage="1" sqref="F12"/>
    <dataValidation allowBlank="1" showDropDown="0" showInputMessage="1" showErrorMessage="1" sqref="H8"/>
    <dataValidation allowBlank="1" showDropDown="0" showInputMessage="1" showErrorMessage="1" sqref="H9"/>
    <dataValidation allowBlank="1" showDropDown="0" showInputMessage="1" showErrorMessage="1" sqref="H10"/>
    <dataValidation allowBlank="1" showDropDown="0" showInputMessage="1" showErrorMessage="1" sqref="I8"/>
    <dataValidation allowBlank="1" showDropDown="0" showInputMessage="1" showErrorMessage="1" sqref="I9"/>
    <dataValidation allowBlank="1" showDropDown="0" showInputMessage="1" showErrorMessage="1" sqref="I10"/>
    <dataValidation allowBlank="1" showDropDown="0" showInputMessage="1" showErrorMessage="1" sqref="T4"/>
    <dataValidation allowBlank="1" showDropDown="0" showInputMessage="1" showErrorMessage="1" sqref="T5"/>
    <dataValidation allowBlank="1" showDropDown="0" showInputMessage="1" showErrorMessage="1" sqref="T6"/>
    <dataValidation allowBlank="1" showDropDown="0" showInputMessage="1" showErrorMessage="1" sqref="U4"/>
    <dataValidation allowBlank="1" showDropDown="0" showInputMessage="1" showErrorMessage="1" sqref="U5"/>
    <dataValidation allowBlank="1" showDropDown="0" showInputMessage="1" showErrorMessage="1" sqref="U6"/>
    <dataValidation allowBlank="1" showDropDown="0" showInputMessage="1" showErrorMessage="1" sqref="V4"/>
    <dataValidation allowBlank="1" showDropDown="0" showInputMessage="1" showErrorMessage="1" sqref="V5"/>
    <dataValidation allowBlank="1" showDropDown="0" showInputMessage="1" showErrorMessage="1" sqref="V6"/>
    <dataValidation allowBlank="1" showDropDown="0" showInputMessage="1" showErrorMessage="1" sqref="W4"/>
    <dataValidation allowBlank="1" showDropDown="0" showInputMessage="1" showErrorMessage="1" sqref="W5"/>
    <dataValidation allowBlank="1" showDropDown="0" showInputMessage="1" showErrorMessage="1" sqref="W6"/>
    <dataValidation allowBlank="1" showDropDown="0" showInputMessage="1" showErrorMessage="1" sqref="X4"/>
    <dataValidation allowBlank="1" showDropDown="0" showInputMessage="1" showErrorMessage="1" sqref="X5"/>
    <dataValidation allowBlank="1" showDropDown="0" showInputMessage="1" showErrorMessage="1" sqref="X6"/>
    <dataValidation allowBlank="1" showDropDown="0" showInputMessage="1" showErrorMessage="1" sqref="Z4"/>
    <dataValidation allowBlank="1" showDropDown="0" showInputMessage="1" showErrorMessage="1" sqref="Z5"/>
    <dataValidation allowBlank="1" showDropDown="0" showInputMessage="1" showErrorMessage="1" sqref="Z6"/>
    <dataValidation allowBlank="1" showDropDown="0" showInputMessage="1" showErrorMessage="1" sqref="S7"/>
    <dataValidation allowBlank="1" showDropDown="0" showInputMessage="1" showErrorMessage="1" sqref="T7"/>
    <dataValidation allowBlank="1" showDropDown="0" showInputMessage="1" showErrorMessage="1" sqref="U7"/>
    <dataValidation allowBlank="1" showDropDown="0" showInputMessage="1" showErrorMessage="1" sqref="V7"/>
    <dataValidation allowBlank="1" showDropDown="0" showInputMessage="1" showErrorMessage="1" sqref="W7"/>
    <dataValidation allowBlank="1" showDropDown="0" showInputMessage="1" showErrorMessage="1" sqref="X7"/>
    <dataValidation allowBlank="1" showDropDown="0" showInputMessage="1" showErrorMessage="1" sqref="AI8"/>
    <dataValidation allowBlank="1" showDropDown="0" showInputMessage="1" showErrorMessage="1" sqref="AI9"/>
    <dataValidation allowBlank="1" showDropDown="0" showInputMessage="1" showErrorMessage="1" sqref="AJ8"/>
    <dataValidation allowBlank="1" showDropDown="0" showInputMessage="1" showErrorMessage="1" sqref="AJ9"/>
    <dataValidation allowBlank="1" showDropDown="0" showInputMessage="1" showErrorMessage="1" sqref="AI10"/>
    <dataValidation allowBlank="1" showDropDown="0" showInputMessage="1" showErrorMessage="1" sqref="AI11"/>
    <dataValidation allowBlank="1" showDropDown="0" showInputMessage="1" showErrorMessage="1" sqref="AI12"/>
    <dataValidation allowBlank="1" showDropDown="0" showInputMessage="1" showErrorMessage="1" sqref="AJ10"/>
    <dataValidation allowBlank="1" showDropDown="0" showInputMessage="1" showErrorMessage="1" sqref="AJ11"/>
    <dataValidation allowBlank="1" showDropDown="0" showInputMessage="1" showErrorMessage="1" sqref="AJ12"/>
    <dataValidation allowBlank="1" showDropDown="0" showInputMessage="1" showErrorMessage="1" sqref="AK10"/>
    <dataValidation allowBlank="1" showDropDown="0" showInputMessage="1" showErrorMessage="1" sqref="AK11"/>
    <dataValidation allowBlank="1" showDropDown="0" showInputMessage="1" showErrorMessage="1" sqref="AK12"/>
    <dataValidation allowBlank="1" showDropDown="0" showInputMessage="1" showErrorMessage="1" sqref="A1"/>
    <dataValidation allowBlank="1" showDropDown="0" showInputMessage="1" showErrorMessage="1" sqref="B1"/>
    <dataValidation allowBlank="1" showDropDown="0" showInputMessage="1" showErrorMessage="1" sqref="C1"/>
    <dataValidation allowBlank="1" showDropDown="0" showInputMessage="1" showErrorMessage="1" sqref="D1"/>
    <dataValidation allowBlank="1" showDropDown="0" showInputMessage="1" showErrorMessage="1" sqref="E1"/>
    <dataValidation allowBlank="1" showDropDown="0" showInputMessage="1" showErrorMessage="1" sqref="F1"/>
    <dataValidation allowBlank="1" showDropDown="0" showInputMessage="1" showErrorMessage="1" sqref="G1"/>
    <dataValidation allowBlank="1" showDropDown="0" showInputMessage="1" showErrorMessage="1" sqref="H1"/>
    <dataValidation allowBlank="1" showDropDown="0" showInputMessage="1" showErrorMessage="1" sqref="I1"/>
    <dataValidation allowBlank="1" showDropDown="0" showInputMessage="1" showErrorMessage="1" sqref="J1"/>
    <dataValidation allowBlank="1" showDropDown="0" showInputMessage="1" showErrorMessage="1" sqref="K1"/>
    <dataValidation allowBlank="1" showDropDown="0" showInputMessage="1" showErrorMessage="1" sqref="L1"/>
    <dataValidation allowBlank="1" showDropDown="0" showInputMessage="1" showErrorMessage="1" sqref="M1"/>
    <dataValidation allowBlank="1" showDropDown="0" showInputMessage="1" showErrorMessage="1" sqref="N1"/>
    <dataValidation allowBlank="1" showDropDown="0" showInputMessage="1" showErrorMessage="1" sqref="O1"/>
    <dataValidation allowBlank="1" showDropDown="0" showInputMessage="1" showErrorMessage="1" sqref="P1"/>
    <dataValidation allowBlank="1" showDropDown="0" showInputMessage="1" showErrorMessage="1" sqref="Q1"/>
    <dataValidation allowBlank="1" showDropDown="0" showInputMessage="1" showErrorMessage="1" sqref="R1"/>
    <dataValidation allowBlank="1" showDropDown="0" showInputMessage="1" showErrorMessage="1" sqref="S1"/>
    <dataValidation allowBlank="1" showDropDown="0" showInputMessage="1" showErrorMessage="1" sqref="T1"/>
    <dataValidation allowBlank="1" showDropDown="0" showInputMessage="1" showErrorMessage="1" sqref="U1"/>
    <dataValidation allowBlank="1" showDropDown="0" showInputMessage="1" showErrorMessage="1" sqref="V1"/>
    <dataValidation allowBlank="1" showDropDown="0" showInputMessage="1" showErrorMessage="1" sqref="W1"/>
    <dataValidation allowBlank="1" showDropDown="0" showInputMessage="1" showErrorMessage="1" sqref="X1"/>
    <dataValidation allowBlank="1" showDropDown="0" showInputMessage="1" showErrorMessage="1" sqref="Y1"/>
    <dataValidation allowBlank="1" showDropDown="0" showInputMessage="1" showErrorMessage="1" sqref="Z1"/>
    <dataValidation allowBlank="1" showDropDown="0" showInputMessage="1" showErrorMessage="1" sqref="AA1"/>
    <dataValidation allowBlank="1" showDropDown="0" showInputMessage="1" showErrorMessage="1" sqref="AB1"/>
    <dataValidation allowBlank="1" showDropDown="0" showInputMessage="1" showErrorMessage="1" sqref="AC1"/>
    <dataValidation allowBlank="1" showDropDown="0" showInputMessage="1" showErrorMessage="1" sqref="AD1"/>
    <dataValidation allowBlank="1" showDropDown="0" showInputMessage="1" showErrorMessage="1" sqref="AE1"/>
    <dataValidation allowBlank="1" showDropDown="0" showInputMessage="1" showErrorMessage="1" sqref="AF1"/>
    <dataValidation allowBlank="1" showDropDown="0" showInputMessage="1" showErrorMessage="1" sqref="AG1"/>
    <dataValidation allowBlank="1" showDropDown="0" showInputMessage="1" showErrorMessage="1" sqref="AH1"/>
    <dataValidation allowBlank="1" showDropDown="0" showInputMessage="1" showErrorMessage="1" sqref="AI1"/>
    <dataValidation allowBlank="1" showDropDown="0" showInputMessage="1" showErrorMessage="1" sqref="AJ1"/>
    <dataValidation allowBlank="1" showDropDown="0" showInputMessage="1" showErrorMessage="1" sqref="AK1"/>
    <dataValidation allowBlank="1" showDropDown="0" showInputMessage="1" showErrorMessage="1" sqref="AL1"/>
    <dataValidation allowBlank="1" showDropDown="0" showInputMessage="1" showErrorMessage="1" sqref="AI7"/>
    <dataValidation allowBlank="1" showDropDown="0" showInputMessage="1" showErrorMessage="1" sqref="AJ7"/>
    <dataValidation allowBlank="1" showDropDown="0" showInputMessage="1" showErrorMessage="1" sqref="AK7"/>
    <dataValidation allowBlank="1" showDropDown="0" showInputMessage="1" showErrorMessage="1" sqref="AL7"/>
    <dataValidation allowBlank="1" showDropDown="0" showInputMessage="1" showErrorMessage="1" sqref="AM7"/>
    <dataValidation allowBlank="1" showDropDown="0" showInputMessage="1" showErrorMessage="1" sqref="AI3"/>
    <dataValidation allowBlank="1" showDropDown="0" showInputMessage="1" showErrorMessage="1" sqref="AI4"/>
    <dataValidation allowBlank="1" showDropDown="0" showInputMessage="1" showErrorMessage="1" sqref="AI5"/>
    <dataValidation allowBlank="1" showDropDown="0" showInputMessage="1" showErrorMessage="1" sqref="AI6"/>
    <dataValidation allowBlank="1" showDropDown="0" showInputMessage="1" showErrorMessage="1" sqref="AJ3"/>
    <dataValidation allowBlank="1" showDropDown="0" showInputMessage="1" showErrorMessage="1" sqref="AJ4"/>
    <dataValidation allowBlank="1" showDropDown="0" showInputMessage="1" showErrorMessage="1" sqref="AJ5"/>
    <dataValidation allowBlank="1" showDropDown="0" showInputMessage="1" showErrorMessage="1" sqref="AJ6"/>
    <dataValidation allowBlank="1" showDropDown="0" showInputMessage="1" showErrorMessage="1" sqref="AK3"/>
    <dataValidation allowBlank="1" showDropDown="0" showInputMessage="1" showErrorMessage="1" sqref="AK4"/>
    <dataValidation allowBlank="1" showDropDown="0" showInputMessage="1" showErrorMessage="1" sqref="AK5"/>
    <dataValidation allowBlank="1" showDropDown="0" showInputMessage="1" showErrorMessage="1" sqref="AK6"/>
    <dataValidation allowBlank="1" showDropDown="0" showInputMessage="1" showErrorMessage="1" sqref="AL3"/>
    <dataValidation allowBlank="1" showDropDown="0" showInputMessage="1" showErrorMessage="1" sqref="AL4"/>
    <dataValidation allowBlank="1" showDropDown="0" showInputMessage="1" showErrorMessage="1" sqref="AL5"/>
    <dataValidation allowBlank="1" showDropDown="0" showInputMessage="1" showErrorMessage="1" sqref="AL6"/>
    <dataValidation allowBlank="1" showDropDown="0" showInputMessage="1" showErrorMessage="1" sqref="AM3"/>
    <dataValidation allowBlank="1" showDropDown="0" showInputMessage="1" showErrorMessage="1" sqref="AM4"/>
    <dataValidation allowBlank="1" showDropDown="0" showInputMessage="1" showErrorMessage="1" sqref="AM5"/>
    <dataValidation allowBlank="1" showDropDown="0" showInputMessage="1" showErrorMessage="1" sqref="AM6"/>
    <dataValidation allowBlank="1" showDropDown="0" showInputMessage="1" showErrorMessage="1" sqref="AN3"/>
    <dataValidation allowBlank="1" showDropDown="0" showInputMessage="1" showErrorMessage="1" sqref="AN4"/>
    <dataValidation allowBlank="1" showDropDown="0" showInputMessage="1" showErrorMessage="1" sqref="AN5"/>
    <dataValidation allowBlank="1" showDropDown="0" showInputMessage="1" showErrorMessage="1" sqref="AN6"/>
    <dataValidation allowBlank="1" showDropDown="0" showInputMessage="1" showErrorMessage="1" sqref="AI13"/>
    <dataValidation allowBlank="1" showDropDown="0" showInputMessage="1" showErrorMessage="1" sqref="AJ13"/>
    <dataValidation allowBlank="1" showDropDown="0" showInputMessage="1" showErrorMessage="1" sqref="AK13"/>
    <dataValidation allowBlank="1" showDropDown="0" showInputMessage="1" showErrorMessage="1" sqref="AL13"/>
    <dataValidation allowBlank="1" showDropDown="0" showInputMessage="1" showErrorMessage="1" sqref="AM13"/>
    <dataValidation allowBlank="1" showDropDown="0" showInputMessage="1" showErrorMessage="1" sqref="AN13"/>
    <dataValidation allowBlank="1" showDropDown="0" showInputMessage="1" showErrorMessage="1" sqref="AO13"/>
    <dataValidation allowBlank="1" showDropDown="0" showInputMessage="1" showErrorMessage="1" sqref="AI2"/>
    <dataValidation allowBlank="1" showDropDown="0" showInputMessage="1" showErrorMessage="1" sqref="AJ2"/>
    <dataValidation allowBlank="1" showDropDown="0" showInputMessage="1" showErrorMessage="1" sqref="AK2"/>
    <dataValidation allowBlank="1" showDropDown="0" showInputMessage="1" showErrorMessage="1" sqref="AL2"/>
    <dataValidation allowBlank="1" showDropDown="0" showInputMessage="1" showErrorMessage="1" sqref="AM2"/>
    <dataValidation allowBlank="1" showDropDown="0" showInputMessage="1" showErrorMessage="1" sqref="AN2"/>
    <dataValidation allowBlank="1" showDropDown="0" showInputMessage="1" showErrorMessage="1" sqref="AO2"/>
    <dataValidation allowBlank="1" showDropDown="0" showInputMessage="1" showErrorMessage="1" sqref="AP2"/>
    <dataValidation allowBlank="1" showDropDown="0" showInputMessage="1" showErrorMessage="1" sqref="Y13"/>
    <dataValidation allowBlank="1" showDropDown="0" showInputMessage="1" showErrorMessage="1" sqref="A13"/>
    <dataValidation allowBlank="1" showDropDown="0" showInputMessage="1" showErrorMessage="1" sqref="B13"/>
    <dataValidation allowBlank="1" showDropDown="0" showInputMessage="1" showErrorMessage="1" sqref="C13"/>
    <dataValidation allowBlank="1" showDropDown="0" showInputMessage="1" showErrorMessage="1" sqref="D13"/>
    <dataValidation allowBlank="1" showDropDown="0" showInputMessage="1" showErrorMessage="1" sqref="E13"/>
    <dataValidation allowBlank="1" showDropDown="0" showInputMessage="1" showErrorMessage="1" sqref="F13"/>
    <dataValidation allowBlank="1" showDropDown="0" showInputMessage="1" showErrorMessage="1" sqref="G13"/>
    <dataValidation allowBlank="1" showDropDown="0" showInputMessage="1" showErrorMessage="1" sqref="H13"/>
    <dataValidation allowBlank="1" showDropDown="0" showInputMessage="1" showErrorMessage="1" sqref="I13"/>
    <dataValidation allowBlank="1" showDropDown="0" showInputMessage="1" showErrorMessage="1" sqref="J13"/>
    <dataValidation allowBlank="1" showDropDown="0" showInputMessage="1" showErrorMessage="1" sqref="K13"/>
    <dataValidation allowBlank="1" showDropDown="0" showInputMessage="1" showErrorMessage="1" sqref="L13"/>
    <dataValidation allowBlank="1" showDropDown="0" showInputMessage="1" showErrorMessage="1" sqref="M13"/>
    <dataValidation allowBlank="1" showDropDown="0" showInputMessage="1" showErrorMessage="1" sqref="N13"/>
    <dataValidation allowBlank="1" showDropDown="0" showInputMessage="1" showErrorMessage="1" sqref="O13"/>
    <dataValidation allowBlank="1" showDropDown="0" showInputMessage="1" showErrorMessage="1" sqref="P13"/>
    <dataValidation allowBlank="1" showDropDown="0" showInputMessage="1" showErrorMessage="1" sqref="Q13"/>
    <dataValidation allowBlank="1" showDropDown="0" showInputMessage="1" showErrorMessage="1" sqref="R13"/>
    <dataValidation allowBlank="1" showDropDown="0" showInputMessage="1" showErrorMessage="1" sqref="S13"/>
    <dataValidation allowBlank="1" showDropDown="0" showInputMessage="1" showErrorMessage="1" sqref="T13"/>
    <dataValidation allowBlank="1" showDropDown="0" showInputMessage="1" showErrorMessage="1" sqref="U13"/>
    <dataValidation allowBlank="1" showDropDown="0" showInputMessage="1" showErrorMessage="1" sqref="V13"/>
    <dataValidation allowBlank="1" showDropDown="0" showInputMessage="1" showErrorMessage="1" sqref="AD13"/>
    <dataValidation allowBlank="1" showDropDown="0" showInputMessage="1" showErrorMessage="1" sqref="AI14"/>
    <dataValidation allowBlank="1" showDropDown="0" showInputMessage="1" showErrorMessage="1" sqref="AI15"/>
    <dataValidation allowBlank="1" showDropDown="0" showInputMessage="1" showErrorMessage="1" sqref="AI16"/>
    <dataValidation allowBlank="1" showDropDown="0" showInputMessage="1" showErrorMessage="1" sqref="AI17"/>
    <dataValidation allowBlank="1" showDropDown="0" showInputMessage="1" showErrorMessage="1" sqref="AI18"/>
    <dataValidation allowBlank="1" showDropDown="0" showInputMessage="1" showErrorMessage="1" sqref="AI19"/>
    <dataValidation allowBlank="1" showDropDown="0" showInputMessage="1" showErrorMessage="1" sqref="AI20"/>
    <dataValidation allowBlank="1" showDropDown="0" showInputMessage="1" showErrorMessage="1" sqref="AI21"/>
    <dataValidation allowBlank="1" showDropDown="0" showInputMessage="1" showErrorMessage="1" sqref="AI22"/>
    <dataValidation allowBlank="1" showDropDown="0" showInputMessage="1" showErrorMessage="1" sqref="AI23"/>
    <dataValidation allowBlank="1" showDropDown="0" showInputMessage="1" showErrorMessage="1" sqref="AI24"/>
    <dataValidation allowBlank="1" showDropDown="0" showInputMessage="1" showErrorMessage="1" sqref="AI25"/>
    <dataValidation allowBlank="1" showDropDown="0" showInputMessage="1" showErrorMessage="1" sqref="AI26"/>
    <dataValidation allowBlank="1" showDropDown="0" showInputMessage="1" showErrorMessage="1" sqref="AI27"/>
    <dataValidation allowBlank="1" showDropDown="0" showInputMessage="1" showErrorMessage="1" sqref="AI28"/>
    <dataValidation allowBlank="1" showDropDown="0" showInputMessage="1" showErrorMessage="1" sqref="AI29"/>
    <dataValidation allowBlank="1" showDropDown="0" showInputMessage="1" showErrorMessage="1" sqref="AI30"/>
    <dataValidation allowBlank="1" showDropDown="0" showInputMessage="1" showErrorMessage="1" sqref="AI31"/>
    <dataValidation allowBlank="1" showDropDown="0" showInputMessage="1" showErrorMessage="1" sqref="AI32"/>
    <dataValidation allowBlank="1" showDropDown="0" showInputMessage="1" showErrorMessage="1" sqref="AJ14"/>
    <dataValidation allowBlank="1" showDropDown="0" showInputMessage="1" showErrorMessage="1" sqref="AJ15"/>
    <dataValidation allowBlank="1" showDropDown="0" showInputMessage="1" showErrorMessage="1" sqref="AJ16"/>
    <dataValidation allowBlank="1" showDropDown="0" showInputMessage="1" showErrorMessage="1" sqref="AJ17"/>
    <dataValidation allowBlank="1" showDropDown="0" showInputMessage="1" showErrorMessage="1" sqref="AJ18"/>
    <dataValidation allowBlank="1" showDropDown="0" showInputMessage="1" showErrorMessage="1" sqref="AJ19"/>
    <dataValidation allowBlank="1" showDropDown="0" showInputMessage="1" showErrorMessage="1" sqref="AJ20"/>
    <dataValidation allowBlank="1" showDropDown="0" showInputMessage="1" showErrorMessage="1" sqref="AJ21"/>
    <dataValidation allowBlank="1" showDropDown="0" showInputMessage="1" showErrorMessage="1" sqref="AJ22"/>
    <dataValidation allowBlank="1" showDropDown="0" showInputMessage="1" showErrorMessage="1" sqref="AJ23"/>
    <dataValidation allowBlank="1" showDropDown="0" showInputMessage="1" showErrorMessage="1" sqref="AJ24"/>
    <dataValidation allowBlank="1" showDropDown="0" showInputMessage="1" showErrorMessage="1" sqref="AJ25"/>
    <dataValidation allowBlank="1" showDropDown="0" showInputMessage="1" showErrorMessage="1" sqref="AJ26"/>
    <dataValidation allowBlank="1" showDropDown="0" showInputMessage="1" showErrorMessage="1" sqref="AJ27"/>
    <dataValidation allowBlank="1" showDropDown="0" showInputMessage="1" showErrorMessage="1" sqref="AJ28"/>
    <dataValidation allowBlank="1" showDropDown="0" showInputMessage="1" showErrorMessage="1" sqref="AJ29"/>
    <dataValidation allowBlank="1" showDropDown="0" showInputMessage="1" showErrorMessage="1" sqref="AJ30"/>
    <dataValidation allowBlank="1" showDropDown="0" showInputMessage="1" showErrorMessage="1" sqref="AJ31"/>
    <dataValidation allowBlank="1" showDropDown="0" showInputMessage="1" showErrorMessage="1" sqref="AJ32"/>
    <dataValidation allowBlank="1" showDropDown="0" showInputMessage="1" showErrorMessage="1" sqref="AK14"/>
    <dataValidation allowBlank="1" showDropDown="0" showInputMessage="1" showErrorMessage="1" sqref="AK15"/>
    <dataValidation allowBlank="1" showDropDown="0" showInputMessage="1" showErrorMessage="1" sqref="AK16"/>
    <dataValidation allowBlank="1" showDropDown="0" showInputMessage="1" showErrorMessage="1" sqref="AK17"/>
    <dataValidation allowBlank="1" showDropDown="0" showInputMessage="1" showErrorMessage="1" sqref="AK18"/>
    <dataValidation allowBlank="1" showDropDown="0" showInputMessage="1" showErrorMessage="1" sqref="AK19"/>
    <dataValidation allowBlank="1" showDropDown="0" showInputMessage="1" showErrorMessage="1" sqref="AK20"/>
    <dataValidation allowBlank="1" showDropDown="0" showInputMessage="1" showErrorMessage="1" sqref="AK21"/>
    <dataValidation allowBlank="1" showDropDown="0" showInputMessage="1" showErrorMessage="1" sqref="AK22"/>
    <dataValidation allowBlank="1" showDropDown="0" showInputMessage="1" showErrorMessage="1" sqref="AK23"/>
    <dataValidation allowBlank="1" showDropDown="0" showInputMessage="1" showErrorMessage="1" sqref="AK24"/>
    <dataValidation allowBlank="1" showDropDown="0" showInputMessage="1" showErrorMessage="1" sqref="AK25"/>
    <dataValidation allowBlank="1" showDropDown="0" showInputMessage="1" showErrorMessage="1" sqref="AK26"/>
    <dataValidation allowBlank="1" showDropDown="0" showInputMessage="1" showErrorMessage="1" sqref="AK27"/>
    <dataValidation allowBlank="1" showDropDown="0" showInputMessage="1" showErrorMessage="1" sqref="AK28"/>
    <dataValidation allowBlank="1" showDropDown="0" showInputMessage="1" showErrorMessage="1" sqref="AK29"/>
    <dataValidation allowBlank="1" showDropDown="0" showInputMessage="1" showErrorMessage="1" sqref="AK30"/>
    <dataValidation allowBlank="1" showDropDown="0" showInputMessage="1" showErrorMessage="1" sqref="AK31"/>
    <dataValidation allowBlank="1" showDropDown="0" showInputMessage="1" showErrorMessage="1" sqref="AK32"/>
    <dataValidation allowBlank="1" showDropDown="0" showInputMessage="1" showErrorMessage="1" sqref="AL14"/>
    <dataValidation allowBlank="1" showDropDown="0" showInputMessage="1" showErrorMessage="1" sqref="AL15"/>
    <dataValidation allowBlank="1" showDropDown="0" showInputMessage="1" showErrorMessage="1" sqref="AL16"/>
    <dataValidation allowBlank="1" showDropDown="0" showInputMessage="1" showErrorMessage="1" sqref="AL17"/>
    <dataValidation allowBlank="1" showDropDown="0" showInputMessage="1" showErrorMessage="1" sqref="AL18"/>
    <dataValidation allowBlank="1" showDropDown="0" showInputMessage="1" showErrorMessage="1" sqref="AL19"/>
    <dataValidation allowBlank="1" showDropDown="0" showInputMessage="1" showErrorMessage="1" sqref="AL20"/>
    <dataValidation allowBlank="1" showDropDown="0" showInputMessage="1" showErrorMessage="1" sqref="AL21"/>
    <dataValidation allowBlank="1" showDropDown="0" showInputMessage="1" showErrorMessage="1" sqref="AL22"/>
    <dataValidation allowBlank="1" showDropDown="0" showInputMessage="1" showErrorMessage="1" sqref="AL23"/>
    <dataValidation allowBlank="1" showDropDown="0" showInputMessage="1" showErrorMessage="1" sqref="AL24"/>
    <dataValidation allowBlank="1" showDropDown="0" showInputMessage="1" showErrorMessage="1" sqref="AL25"/>
    <dataValidation allowBlank="1" showDropDown="0" showInputMessage="1" showErrorMessage="1" sqref="AL26"/>
    <dataValidation allowBlank="1" showDropDown="0" showInputMessage="1" showErrorMessage="1" sqref="AL27"/>
    <dataValidation allowBlank="1" showDropDown="0" showInputMessage="1" showErrorMessage="1" sqref="AL28"/>
    <dataValidation allowBlank="1" showDropDown="0" showInputMessage="1" showErrorMessage="1" sqref="AL29"/>
    <dataValidation allowBlank="1" showDropDown="0" showInputMessage="1" showErrorMessage="1" sqref="AL30"/>
    <dataValidation allowBlank="1" showDropDown="0" showInputMessage="1" showErrorMessage="1" sqref="AL31"/>
    <dataValidation allowBlank="1" showDropDown="0" showInputMessage="1" showErrorMessage="1" sqref="AL32"/>
    <dataValidation allowBlank="1" showDropDown="0" showInputMessage="1" showErrorMessage="1" sqref="AM14"/>
    <dataValidation allowBlank="1" showDropDown="0" showInputMessage="1" showErrorMessage="1" sqref="AM15"/>
    <dataValidation allowBlank="1" showDropDown="0" showInputMessage="1" showErrorMessage="1" sqref="AM16"/>
    <dataValidation allowBlank="1" showDropDown="0" showInputMessage="1" showErrorMessage="1" sqref="AM17"/>
    <dataValidation allowBlank="1" showDropDown="0" showInputMessage="1" showErrorMessage="1" sqref="AM18"/>
    <dataValidation allowBlank="1" showDropDown="0" showInputMessage="1" showErrorMessage="1" sqref="AM19"/>
    <dataValidation allowBlank="1" showDropDown="0" showInputMessage="1" showErrorMessage="1" sqref="AM20"/>
    <dataValidation allowBlank="1" showDropDown="0" showInputMessage="1" showErrorMessage="1" sqref="AM21"/>
    <dataValidation allowBlank="1" showDropDown="0" showInputMessage="1" showErrorMessage="1" sqref="AM22"/>
    <dataValidation allowBlank="1" showDropDown="0" showInputMessage="1" showErrorMessage="1" sqref="AM23"/>
    <dataValidation allowBlank="1" showDropDown="0" showInputMessage="1" showErrorMessage="1" sqref="AM24"/>
    <dataValidation allowBlank="1" showDropDown="0" showInputMessage="1" showErrorMessage="1" sqref="AM25"/>
    <dataValidation allowBlank="1" showDropDown="0" showInputMessage="1" showErrorMessage="1" sqref="AM26"/>
    <dataValidation allowBlank="1" showDropDown="0" showInputMessage="1" showErrorMessage="1" sqref="AM27"/>
    <dataValidation allowBlank="1" showDropDown="0" showInputMessage="1" showErrorMessage="1" sqref="AM28"/>
    <dataValidation allowBlank="1" showDropDown="0" showInputMessage="1" showErrorMessage="1" sqref="AM29"/>
    <dataValidation allowBlank="1" showDropDown="0" showInputMessage="1" showErrorMessage="1" sqref="AM30"/>
    <dataValidation allowBlank="1" showDropDown="0" showInputMessage="1" showErrorMessage="1" sqref="AM31"/>
    <dataValidation allowBlank="1" showDropDown="0" showInputMessage="1" showErrorMessage="1" sqref="AM32"/>
    <dataValidation allowBlank="1" showDropDown="0" showInputMessage="1" showErrorMessage="1" sqref="AN14"/>
    <dataValidation allowBlank="1" showDropDown="0" showInputMessage="1" showErrorMessage="1" sqref="AN15"/>
    <dataValidation allowBlank="1" showDropDown="0" showInputMessage="1" showErrorMessage="1" sqref="AN16"/>
    <dataValidation allowBlank="1" showDropDown="0" showInputMessage="1" showErrorMessage="1" sqref="AN17"/>
    <dataValidation allowBlank="1" showDropDown="0" showInputMessage="1" showErrorMessage="1" sqref="AN18"/>
    <dataValidation allowBlank="1" showDropDown="0" showInputMessage="1" showErrorMessage="1" sqref="AN19"/>
    <dataValidation allowBlank="1" showDropDown="0" showInputMessage="1" showErrorMessage="1" sqref="AN20"/>
    <dataValidation allowBlank="1" showDropDown="0" showInputMessage="1" showErrorMessage="1" sqref="AN21"/>
    <dataValidation allowBlank="1" showDropDown="0" showInputMessage="1" showErrorMessage="1" sqref="AN22"/>
    <dataValidation allowBlank="1" showDropDown="0" showInputMessage="1" showErrorMessage="1" sqref="AN23"/>
    <dataValidation allowBlank="1" showDropDown="0" showInputMessage="1" showErrorMessage="1" sqref="AN24"/>
    <dataValidation allowBlank="1" showDropDown="0" showInputMessage="1" showErrorMessage="1" sqref="AN25"/>
    <dataValidation allowBlank="1" showDropDown="0" showInputMessage="1" showErrorMessage="1" sqref="AN26"/>
    <dataValidation allowBlank="1" showDropDown="0" showInputMessage="1" showErrorMessage="1" sqref="AN27"/>
    <dataValidation allowBlank="1" showDropDown="0" showInputMessage="1" showErrorMessage="1" sqref="AN28"/>
    <dataValidation allowBlank="1" showDropDown="0" showInputMessage="1" showErrorMessage="1" sqref="AN29"/>
    <dataValidation allowBlank="1" showDropDown="0" showInputMessage="1" showErrorMessage="1" sqref="AN30"/>
    <dataValidation allowBlank="1" showDropDown="0" showInputMessage="1" showErrorMessage="1" sqref="AN31"/>
    <dataValidation allowBlank="1" showDropDown="0" showInputMessage="1" showErrorMessage="1" sqref="AN32"/>
    <dataValidation allowBlank="1" showDropDown="0" showInputMessage="1" showErrorMessage="1" sqref="AO14"/>
    <dataValidation allowBlank="1" showDropDown="0" showInputMessage="1" showErrorMessage="1" sqref="AO15"/>
    <dataValidation allowBlank="1" showDropDown="0" showInputMessage="1" showErrorMessage="1" sqref="AO16"/>
    <dataValidation allowBlank="1" showDropDown="0" showInputMessage="1" showErrorMessage="1" sqref="AO17"/>
    <dataValidation allowBlank="1" showDropDown="0" showInputMessage="1" showErrorMessage="1" sqref="AO18"/>
    <dataValidation allowBlank="1" showDropDown="0" showInputMessage="1" showErrorMessage="1" sqref="AO19"/>
    <dataValidation allowBlank="1" showDropDown="0" showInputMessage="1" showErrorMessage="1" sqref="AO20"/>
    <dataValidation allowBlank="1" showDropDown="0" showInputMessage="1" showErrorMessage="1" sqref="AO21"/>
    <dataValidation allowBlank="1" showDropDown="0" showInputMessage="1" showErrorMessage="1" sqref="AO22"/>
    <dataValidation allowBlank="1" showDropDown="0" showInputMessage="1" showErrorMessage="1" sqref="AO23"/>
    <dataValidation allowBlank="1" showDropDown="0" showInputMessage="1" showErrorMessage="1" sqref="AO24"/>
    <dataValidation allowBlank="1" showDropDown="0" showInputMessage="1" showErrorMessage="1" sqref="AO25"/>
    <dataValidation allowBlank="1" showDropDown="0" showInputMessage="1" showErrorMessage="1" sqref="AO26"/>
    <dataValidation allowBlank="1" showDropDown="0" showInputMessage="1" showErrorMessage="1" sqref="AO27"/>
    <dataValidation allowBlank="1" showDropDown="0" showInputMessage="1" showErrorMessage="1" sqref="AO28"/>
    <dataValidation allowBlank="1" showDropDown="0" showInputMessage="1" showErrorMessage="1" sqref="AO29"/>
    <dataValidation allowBlank="1" showDropDown="0" showInputMessage="1" showErrorMessage="1" sqref="AO30"/>
    <dataValidation allowBlank="1" showDropDown="0" showInputMessage="1" showErrorMessage="1" sqref="AO31"/>
    <dataValidation allowBlank="1" showDropDown="0" showInputMessage="1" showErrorMessage="1" sqref="AO32"/>
    <dataValidation allowBlank="1" showDropDown="0" showInputMessage="1" showErrorMessage="1" sqref="AP14"/>
    <dataValidation allowBlank="1" showDropDown="0" showInputMessage="1" showErrorMessage="1" sqref="AP15"/>
    <dataValidation allowBlank="1" showDropDown="0" showInputMessage="1" showErrorMessage="1" sqref="AP16"/>
    <dataValidation allowBlank="1" showDropDown="0" showInputMessage="1" showErrorMessage="1" sqref="AP17"/>
    <dataValidation allowBlank="1" showDropDown="0" showInputMessage="1" showErrorMessage="1" sqref="AP18"/>
    <dataValidation allowBlank="1" showDropDown="0" showInputMessage="1" showErrorMessage="1" sqref="AP19"/>
    <dataValidation allowBlank="1" showDropDown="0" showInputMessage="1" showErrorMessage="1" sqref="AP20"/>
    <dataValidation allowBlank="1" showDropDown="0" showInputMessage="1" showErrorMessage="1" sqref="AP21"/>
    <dataValidation allowBlank="1" showDropDown="0" showInputMessage="1" showErrorMessage="1" sqref="AP22"/>
    <dataValidation allowBlank="1" showDropDown="0" showInputMessage="1" showErrorMessage="1" sqref="AP23"/>
    <dataValidation allowBlank="1" showDropDown="0" showInputMessage="1" showErrorMessage="1" sqref="AP24"/>
    <dataValidation allowBlank="1" showDropDown="0" showInputMessage="1" showErrorMessage="1" sqref="AP25"/>
    <dataValidation allowBlank="1" showDropDown="0" showInputMessage="1" showErrorMessage="1" sqref="AP26"/>
    <dataValidation allowBlank="1" showDropDown="0" showInputMessage="1" showErrorMessage="1" sqref="AP27"/>
    <dataValidation allowBlank="1" showDropDown="0" showInputMessage="1" showErrorMessage="1" sqref="AP28"/>
    <dataValidation allowBlank="1" showDropDown="0" showInputMessage="1" showErrorMessage="1" sqref="AP29"/>
    <dataValidation allowBlank="1" showDropDown="0" showInputMessage="1" showErrorMessage="1" sqref="AP30"/>
    <dataValidation allowBlank="1" showDropDown="0" showInputMessage="1" showErrorMessage="1" sqref="AP31"/>
    <dataValidation allowBlank="1" showDropDown="0" showInputMessage="1" showErrorMessage="1" sqref="AP32"/>
    <dataValidation allowBlank="1" showDropDown="0" showInputMessage="1" showErrorMessage="1" sqref="AQ14"/>
    <dataValidation allowBlank="1" showDropDown="0" showInputMessage="1" showErrorMessage="1" sqref="AQ15"/>
    <dataValidation allowBlank="1" showDropDown="0" showInputMessage="1" showErrorMessage="1" sqref="AQ16"/>
    <dataValidation allowBlank="1" showDropDown="0" showInputMessage="1" showErrorMessage="1" sqref="AQ17"/>
    <dataValidation allowBlank="1" showDropDown="0" showInputMessage="1" showErrorMessage="1" sqref="AQ18"/>
    <dataValidation allowBlank="1" showDropDown="0" showInputMessage="1" showErrorMessage="1" sqref="AQ19"/>
    <dataValidation allowBlank="1" showDropDown="0" showInputMessage="1" showErrorMessage="1" sqref="AQ20"/>
    <dataValidation allowBlank="1" showDropDown="0" showInputMessage="1" showErrorMessage="1" sqref="AQ21"/>
    <dataValidation allowBlank="1" showDropDown="0" showInputMessage="1" showErrorMessage="1" sqref="AQ22"/>
    <dataValidation allowBlank="1" showDropDown="0" showInputMessage="1" showErrorMessage="1" sqref="AQ23"/>
    <dataValidation allowBlank="1" showDropDown="0" showInputMessage="1" showErrorMessage="1" sqref="AQ24"/>
    <dataValidation allowBlank="1" showDropDown="0" showInputMessage="1" showErrorMessage="1" sqref="AQ25"/>
    <dataValidation allowBlank="1" showDropDown="0" showInputMessage="1" showErrorMessage="1" sqref="AQ26"/>
    <dataValidation allowBlank="1" showDropDown="0" showInputMessage="1" showErrorMessage="1" sqref="AQ27"/>
    <dataValidation allowBlank="1" showDropDown="0" showInputMessage="1" showErrorMessage="1" sqref="AQ28"/>
    <dataValidation allowBlank="1" showDropDown="0" showInputMessage="1" showErrorMessage="1" sqref="AQ29"/>
    <dataValidation allowBlank="1" showDropDown="0" showInputMessage="1" showErrorMessage="1" sqref="AQ30"/>
    <dataValidation allowBlank="1" showDropDown="0" showInputMessage="1" showErrorMessage="1" sqref="AQ31"/>
    <dataValidation allowBlank="1" showDropDown="0" showInputMessage="1" showErrorMessage="1" sqref="AQ32"/>
    <dataValidation allowBlank="1" showDropDown="0" showInputMessage="1" showErrorMessage="1" sqref="AR14"/>
    <dataValidation allowBlank="1" showDropDown="0" showInputMessage="1" showErrorMessage="1" sqref="AR15"/>
    <dataValidation allowBlank="1" showDropDown="0" showInputMessage="1" showErrorMessage="1" sqref="AR16"/>
    <dataValidation allowBlank="1" showDropDown="0" showInputMessage="1" showErrorMessage="1" sqref="AR17"/>
    <dataValidation allowBlank="1" showDropDown="0" showInputMessage="1" showErrorMessage="1" sqref="AR18"/>
    <dataValidation allowBlank="1" showDropDown="0" showInputMessage="1" showErrorMessage="1" sqref="AR19"/>
    <dataValidation allowBlank="1" showDropDown="0" showInputMessage="1" showErrorMessage="1" sqref="AR20"/>
    <dataValidation allowBlank="1" showDropDown="0" showInputMessage="1" showErrorMessage="1" sqref="AR21"/>
    <dataValidation allowBlank="1" showDropDown="0" showInputMessage="1" showErrorMessage="1" sqref="AR22"/>
    <dataValidation allowBlank="1" showDropDown="0" showInputMessage="1" showErrorMessage="1" sqref="AR23"/>
    <dataValidation allowBlank="1" showDropDown="0" showInputMessage="1" showErrorMessage="1" sqref="AR24"/>
    <dataValidation allowBlank="1" showDropDown="0" showInputMessage="1" showErrorMessage="1" sqref="AR25"/>
    <dataValidation allowBlank="1" showDropDown="0" showInputMessage="1" showErrorMessage="1" sqref="AR26"/>
    <dataValidation allowBlank="1" showDropDown="0" showInputMessage="1" showErrorMessage="1" sqref="AR27"/>
    <dataValidation allowBlank="1" showDropDown="0" showInputMessage="1" showErrorMessage="1" sqref="AR28"/>
    <dataValidation allowBlank="1" showDropDown="0" showInputMessage="1" showErrorMessage="1" sqref="AR29"/>
    <dataValidation allowBlank="1" showDropDown="0" showInputMessage="1" showErrorMessage="1" sqref="AR30"/>
    <dataValidation allowBlank="1" showDropDown="0" showInputMessage="1" showErrorMessage="1" sqref="AR31"/>
    <dataValidation allowBlank="1" showDropDown="0" showInputMessage="1" showErrorMessage="1" sqref="AR32"/>
    <dataValidation allowBlank="1" showDropDown="0" showInputMessage="1" showErrorMessage="1" sqref="AS14"/>
    <dataValidation allowBlank="1" showDropDown="0" showInputMessage="1" showErrorMessage="1" sqref="AS15"/>
    <dataValidation allowBlank="1" showDropDown="0" showInputMessage="1" showErrorMessage="1" sqref="AS16"/>
    <dataValidation allowBlank="1" showDropDown="0" showInputMessage="1" showErrorMessage="1" sqref="AS17"/>
    <dataValidation allowBlank="1" showDropDown="0" showInputMessage="1" showErrorMessage="1" sqref="AS18"/>
    <dataValidation allowBlank="1" showDropDown="0" showInputMessage="1" showErrorMessage="1" sqref="AS19"/>
    <dataValidation allowBlank="1" showDropDown="0" showInputMessage="1" showErrorMessage="1" sqref="AS20"/>
    <dataValidation allowBlank="1" showDropDown="0" showInputMessage="1" showErrorMessage="1" sqref="AS21"/>
    <dataValidation allowBlank="1" showDropDown="0" showInputMessage="1" showErrorMessage="1" sqref="AS22"/>
    <dataValidation allowBlank="1" showDropDown="0" showInputMessage="1" showErrorMessage="1" sqref="AS23"/>
    <dataValidation allowBlank="1" showDropDown="0" showInputMessage="1" showErrorMessage="1" sqref="AS24"/>
    <dataValidation allowBlank="1" showDropDown="0" showInputMessage="1" showErrorMessage="1" sqref="AS25"/>
    <dataValidation allowBlank="1" showDropDown="0" showInputMessage="1" showErrorMessage="1" sqref="AS26"/>
    <dataValidation allowBlank="1" showDropDown="0" showInputMessage="1" showErrorMessage="1" sqref="AS27"/>
    <dataValidation allowBlank="1" showDropDown="0" showInputMessage="1" showErrorMessage="1" sqref="AS28"/>
    <dataValidation allowBlank="1" showDropDown="0" showInputMessage="1" showErrorMessage="1" sqref="AS29"/>
    <dataValidation allowBlank="1" showDropDown="0" showInputMessage="1" showErrorMessage="1" sqref="AS30"/>
    <dataValidation allowBlank="1" showDropDown="0" showInputMessage="1" showErrorMessage="1" sqref="AS31"/>
    <dataValidation allowBlank="1" showDropDown="0" showInputMessage="1" showErrorMessage="1" sqref="AS32"/>
    <dataValidation allowBlank="1" showDropDown="0" showInputMessage="1" showErrorMessage="1" sqref="Q14"/>
    <dataValidation allowBlank="1" showDropDown="0" showInputMessage="1" showErrorMessage="1" sqref="Q15"/>
    <dataValidation allowBlank="1" showDropDown="0" showInputMessage="1" showErrorMessage="1" sqref="Q16"/>
    <dataValidation allowBlank="1" showDropDown="0" showInputMessage="1" showErrorMessage="1" sqref="Q17"/>
    <dataValidation allowBlank="1" showDropDown="0" showInputMessage="1" showErrorMessage="1" sqref="Q18"/>
    <dataValidation allowBlank="1" showDropDown="0" showInputMessage="1" showErrorMessage="1" sqref="Q19"/>
    <dataValidation allowBlank="1" showDropDown="0" showInputMessage="1" showErrorMessage="1" sqref="Q20"/>
    <dataValidation allowBlank="1" showDropDown="0" showInputMessage="1" showErrorMessage="1" sqref="Q21"/>
    <dataValidation allowBlank="1" showDropDown="0" showInputMessage="1" showErrorMessage="1" sqref="Q22"/>
    <dataValidation allowBlank="1" showDropDown="0" showInputMessage="1" showErrorMessage="1" sqref="Q23"/>
    <dataValidation allowBlank="1" showDropDown="0" showInputMessage="1" showErrorMessage="1" sqref="Q24"/>
    <dataValidation allowBlank="1" showDropDown="0" showInputMessage="1" showErrorMessage="1" sqref="Q25"/>
    <dataValidation allowBlank="1" showDropDown="0" showInputMessage="1" showErrorMessage="1" sqref="Q26"/>
    <dataValidation allowBlank="1" showDropDown="0" showInputMessage="1" showErrorMessage="1" sqref="Q27"/>
    <dataValidation allowBlank="1" showDropDown="0" showInputMessage="1" showErrorMessage="1" sqref="Q28"/>
    <dataValidation allowBlank="1" showDropDown="0" showInputMessage="1" showErrorMessage="1" sqref="Q29"/>
    <dataValidation allowBlank="1" showDropDown="0" showInputMessage="1" showErrorMessage="1" sqref="Q30"/>
    <dataValidation allowBlank="1" showDropDown="0" showInputMessage="1" showErrorMessage="1" sqref="Q31"/>
    <dataValidation allowBlank="1" showDropDown="0" showInputMessage="1" showErrorMessage="1" sqref="Q32"/>
    <dataValidation allowBlank="1" showDropDown="0" showInputMessage="1" showErrorMessage="1" sqref="R14"/>
    <dataValidation allowBlank="1" showDropDown="0" showInputMessage="1" showErrorMessage="1" sqref="R15"/>
    <dataValidation allowBlank="1" showDropDown="0" showInputMessage="1" showErrorMessage="1" sqref="R16"/>
    <dataValidation allowBlank="1" showDropDown="0" showInputMessage="1" showErrorMessage="1" sqref="R17"/>
    <dataValidation allowBlank="1" showDropDown="0" showInputMessage="1" showErrorMessage="1" sqref="R18"/>
    <dataValidation allowBlank="1" showDropDown="0" showInputMessage="1" showErrorMessage="1" sqref="R19"/>
    <dataValidation allowBlank="1" showDropDown="0" showInputMessage="1" showErrorMessage="1" sqref="R20"/>
    <dataValidation allowBlank="1" showDropDown="0" showInputMessage="1" showErrorMessage="1" sqref="R21"/>
    <dataValidation allowBlank="1" showDropDown="0" showInputMessage="1" showErrorMessage="1" sqref="R22"/>
    <dataValidation allowBlank="1" showDropDown="0" showInputMessage="1" showErrorMessage="1" sqref="R23"/>
    <dataValidation allowBlank="1" showDropDown="0" showInputMessage="1" showErrorMessage="1" sqref="R24"/>
    <dataValidation allowBlank="1" showDropDown="0" showInputMessage="1" showErrorMessage="1" sqref="R25"/>
    <dataValidation allowBlank="1" showDropDown="0" showInputMessage="1" showErrorMessage="1" sqref="R26"/>
    <dataValidation allowBlank="1" showDropDown="0" showInputMessage="1" showErrorMessage="1" sqref="R27"/>
    <dataValidation allowBlank="1" showDropDown="0" showInputMessage="1" showErrorMessage="1" sqref="R28"/>
    <dataValidation allowBlank="1" showDropDown="0" showInputMessage="1" showErrorMessage="1" sqref="R29"/>
    <dataValidation allowBlank="1" showDropDown="0" showInputMessage="1" showErrorMessage="1" sqref="R30"/>
    <dataValidation allowBlank="1" showDropDown="0" showInputMessage="1" showErrorMessage="1" sqref="R31"/>
    <dataValidation allowBlank="1" showDropDown="0" showInputMessage="1" showErrorMessage="1" sqref="R32"/>
    <dataValidation allowBlank="1" showDropDown="0" showInputMessage="1" showErrorMessage="1" sqref="S14"/>
    <dataValidation allowBlank="1" showDropDown="0" showInputMessage="1" showErrorMessage="1" sqref="S15"/>
    <dataValidation allowBlank="1" showDropDown="0" showInputMessage="1" showErrorMessage="1" sqref="S16"/>
    <dataValidation allowBlank="1" showDropDown="0" showInputMessage="1" showErrorMessage="1" sqref="S17"/>
    <dataValidation allowBlank="1" showDropDown="0" showInputMessage="1" showErrorMessage="1" sqref="S18"/>
    <dataValidation allowBlank="1" showDropDown="0" showInputMessage="1" showErrorMessage="1" sqref="S19"/>
    <dataValidation allowBlank="1" showDropDown="0" showInputMessage="1" showErrorMessage="1" sqref="S20"/>
    <dataValidation allowBlank="1" showDropDown="0" showInputMessage="1" showErrorMessage="1" sqref="S21"/>
    <dataValidation allowBlank="1" showDropDown="0" showInputMessage="1" showErrorMessage="1" sqref="S22"/>
    <dataValidation allowBlank="1" showDropDown="0" showInputMessage="1" showErrorMessage="1" sqref="S23"/>
    <dataValidation allowBlank="1" showDropDown="0" showInputMessage="1" showErrorMessage="1" sqref="S24"/>
    <dataValidation allowBlank="1" showDropDown="0" showInputMessage="1" showErrorMessage="1" sqref="S25"/>
    <dataValidation allowBlank="1" showDropDown="0" showInputMessage="1" showErrorMessage="1" sqref="S26"/>
    <dataValidation allowBlank="1" showDropDown="0" showInputMessage="1" showErrorMessage="1" sqref="S27"/>
    <dataValidation allowBlank="1" showDropDown="0" showInputMessage="1" showErrorMessage="1" sqref="S28"/>
    <dataValidation allowBlank="1" showDropDown="0" showInputMessage="1" showErrorMessage="1" sqref="S29"/>
    <dataValidation allowBlank="1" showDropDown="0" showInputMessage="1" showErrorMessage="1" sqref="S30"/>
    <dataValidation allowBlank="1" showDropDown="0" showInputMessage="1" showErrorMessage="1" sqref="S31"/>
    <dataValidation allowBlank="1" showDropDown="0" showInputMessage="1" showErrorMessage="1" sqref="S32"/>
    <dataValidation allowBlank="1" showDropDown="0" showInputMessage="1" showErrorMessage="1" sqref="T14"/>
    <dataValidation allowBlank="1" showDropDown="0" showInputMessage="1" showErrorMessage="1" sqref="T15"/>
    <dataValidation allowBlank="1" showDropDown="0" showInputMessage="1" showErrorMessage="1" sqref="T16"/>
    <dataValidation allowBlank="1" showDropDown="0" showInputMessage="1" showErrorMessage="1" sqref="T17"/>
    <dataValidation allowBlank="1" showDropDown="0" showInputMessage="1" showErrorMessage="1" sqref="T18"/>
    <dataValidation allowBlank="1" showDropDown="0" showInputMessage="1" showErrorMessage="1" sqref="T19"/>
    <dataValidation allowBlank="1" showDropDown="0" showInputMessage="1" showErrorMessage="1" sqref="T20"/>
    <dataValidation allowBlank="1" showDropDown="0" showInputMessage="1" showErrorMessage="1" sqref="T21"/>
    <dataValidation allowBlank="1" showDropDown="0" showInputMessage="1" showErrorMessage="1" sqref="T22"/>
    <dataValidation allowBlank="1" showDropDown="0" showInputMessage="1" showErrorMessage="1" sqref="T23"/>
    <dataValidation allowBlank="1" showDropDown="0" showInputMessage="1" showErrorMessage="1" sqref="T24"/>
    <dataValidation allowBlank="1" showDropDown="0" showInputMessage="1" showErrorMessage="1" sqref="T25"/>
    <dataValidation allowBlank="1" showDropDown="0" showInputMessage="1" showErrorMessage="1" sqref="T26"/>
    <dataValidation allowBlank="1" showDropDown="0" showInputMessage="1" showErrorMessage="1" sqref="T27"/>
    <dataValidation allowBlank="1" showDropDown="0" showInputMessage="1" showErrorMessage="1" sqref="T28"/>
    <dataValidation allowBlank="1" showDropDown="0" showInputMessage="1" showErrorMessage="1" sqref="T29"/>
    <dataValidation allowBlank="1" showDropDown="0" showInputMessage="1" showErrorMessage="1" sqref="T30"/>
    <dataValidation allowBlank="1" showDropDown="0" showInputMessage="1" showErrorMessage="1" sqref="T31"/>
    <dataValidation allowBlank="1" showDropDown="0" showInputMessage="1" showErrorMessage="1" sqref="T32"/>
    <dataValidation allowBlank="1" showDropDown="0" showInputMessage="1" showErrorMessage="1" sqref="U14"/>
    <dataValidation allowBlank="1" showDropDown="0" showInputMessage="1" showErrorMessage="1" sqref="U15"/>
    <dataValidation allowBlank="1" showDropDown="0" showInputMessage="1" showErrorMessage="1" sqref="U16"/>
    <dataValidation allowBlank="1" showDropDown="0" showInputMessage="1" showErrorMessage="1" sqref="U17"/>
    <dataValidation allowBlank="1" showDropDown="0" showInputMessage="1" showErrorMessage="1" sqref="U18"/>
    <dataValidation allowBlank="1" showDropDown="0" showInputMessage="1" showErrorMessage="1" sqref="U19"/>
    <dataValidation allowBlank="1" showDropDown="0" showInputMessage="1" showErrorMessage="1" sqref="U20"/>
    <dataValidation allowBlank="1" showDropDown="0" showInputMessage="1" showErrorMessage="1" sqref="U21"/>
    <dataValidation allowBlank="1" showDropDown="0" showInputMessage="1" showErrorMessage="1" sqref="U22"/>
    <dataValidation allowBlank="1" showDropDown="0" showInputMessage="1" showErrorMessage="1" sqref="U23"/>
    <dataValidation allowBlank="1" showDropDown="0" showInputMessage="1" showErrorMessage="1" sqref="U24"/>
    <dataValidation allowBlank="1" showDropDown="0" showInputMessage="1" showErrorMessage="1" sqref="U25"/>
    <dataValidation allowBlank="1" showDropDown="0" showInputMessage="1" showErrorMessage="1" sqref="U26"/>
    <dataValidation allowBlank="1" showDropDown="0" showInputMessage="1" showErrorMessage="1" sqref="U27"/>
    <dataValidation allowBlank="1" showDropDown="0" showInputMessage="1" showErrorMessage="1" sqref="U28"/>
    <dataValidation allowBlank="1" showDropDown="0" showInputMessage="1" showErrorMessage="1" sqref="U29"/>
    <dataValidation allowBlank="1" showDropDown="0" showInputMessage="1" showErrorMessage="1" sqref="U30"/>
    <dataValidation allowBlank="1" showDropDown="0" showInputMessage="1" showErrorMessage="1" sqref="U31"/>
    <dataValidation allowBlank="1" showDropDown="0" showInputMessage="1" showErrorMessage="1" sqref="U32"/>
    <dataValidation allowBlank="1" showDropDown="0" showInputMessage="1" showErrorMessage="1" sqref="V14"/>
    <dataValidation allowBlank="1" showDropDown="0" showInputMessage="1" showErrorMessage="1" sqref="V15"/>
    <dataValidation allowBlank="1" showDropDown="0" showInputMessage="1" showErrorMessage="1" sqref="V16"/>
    <dataValidation allowBlank="1" showDropDown="0" showInputMessage="1" showErrorMessage="1" sqref="V17"/>
    <dataValidation allowBlank="1" showDropDown="0" showInputMessage="1" showErrorMessage="1" sqref="V18"/>
    <dataValidation allowBlank="1" showDropDown="0" showInputMessage="1" showErrorMessage="1" sqref="V19"/>
    <dataValidation allowBlank="1" showDropDown="0" showInputMessage="1" showErrorMessage="1" sqref="V20"/>
    <dataValidation allowBlank="1" showDropDown="0" showInputMessage="1" showErrorMessage="1" sqref="V21"/>
    <dataValidation allowBlank="1" showDropDown="0" showInputMessage="1" showErrorMessage="1" sqref="V22"/>
    <dataValidation allowBlank="1" showDropDown="0" showInputMessage="1" showErrorMessage="1" sqref="V23"/>
    <dataValidation allowBlank="1" showDropDown="0" showInputMessage="1" showErrorMessage="1" sqref="V24"/>
    <dataValidation allowBlank="1" showDropDown="0" showInputMessage="1" showErrorMessage="1" sqref="V25"/>
    <dataValidation allowBlank="1" showDropDown="0" showInputMessage="1" showErrorMessage="1" sqref="V26"/>
    <dataValidation allowBlank="1" showDropDown="0" showInputMessage="1" showErrorMessage="1" sqref="V27"/>
    <dataValidation allowBlank="1" showDropDown="0" showInputMessage="1" showErrorMessage="1" sqref="V28"/>
    <dataValidation allowBlank="1" showDropDown="0" showInputMessage="1" showErrorMessage="1" sqref="V29"/>
    <dataValidation allowBlank="1" showDropDown="0" showInputMessage="1" showErrorMessage="1" sqref="V30"/>
    <dataValidation allowBlank="1" showDropDown="0" showInputMessage="1" showErrorMessage="1" sqref="V31"/>
    <dataValidation allowBlank="1" showDropDown="0" showInputMessage="1" showErrorMessage="1" sqref="V32"/>
    <dataValidation allowBlank="1" showDropDown="0" showInputMessage="1" showErrorMessage="1" sqref="A14"/>
    <dataValidation allowBlank="1" showDropDown="0" showInputMessage="1" showErrorMessage="1" sqref="A15"/>
    <dataValidation allowBlank="1" showDropDown="0" showInputMessage="1" showErrorMessage="1" sqref="A16"/>
    <dataValidation allowBlank="1" showDropDown="0" showInputMessage="1" showErrorMessage="1" sqref="A17"/>
    <dataValidation allowBlank="1" showDropDown="0" showInputMessage="1" showErrorMessage="1" sqref="A18"/>
    <dataValidation allowBlank="1" showDropDown="0" showInputMessage="1" showErrorMessage="1" sqref="A19"/>
    <dataValidation allowBlank="1" showDropDown="0" showInputMessage="1" showErrorMessage="1" sqref="A20"/>
    <dataValidation allowBlank="1" showDropDown="0" showInputMessage="1" showErrorMessage="1" sqref="A21"/>
    <dataValidation allowBlank="1" showDropDown="0" showInputMessage="1" showErrorMessage="1" sqref="A22"/>
    <dataValidation allowBlank="1" showDropDown="0" showInputMessage="1" showErrorMessage="1" sqref="A23"/>
    <dataValidation allowBlank="1" showDropDown="0" showInputMessage="1" showErrorMessage="1" sqref="A24"/>
    <dataValidation allowBlank="1" showDropDown="0" showInputMessage="1" showErrorMessage="1" sqref="A25"/>
    <dataValidation allowBlank="1" showDropDown="0" showInputMessage="1" showErrorMessage="1" sqref="A26"/>
    <dataValidation allowBlank="1" showDropDown="0" showInputMessage="1" showErrorMessage="1" sqref="A27"/>
    <dataValidation allowBlank="1" showDropDown="0" showInputMessage="1" showErrorMessage="1" sqref="A28"/>
    <dataValidation allowBlank="1" showDropDown="0" showInputMessage="1" showErrorMessage="1" sqref="A29"/>
    <dataValidation allowBlank="1" showDropDown="0" showInputMessage="1" showErrorMessage="1" sqref="A30"/>
    <dataValidation allowBlank="1" showDropDown="0" showInputMessage="1" showErrorMessage="1" sqref="A31"/>
    <dataValidation allowBlank="1" showDropDown="0" showInputMessage="1" showErrorMessage="1" sqref="A32"/>
    <dataValidation allowBlank="1" showDropDown="0" showInputMessage="1" showErrorMessage="1" sqref="B14"/>
    <dataValidation allowBlank="1" showDropDown="0" showInputMessage="1" showErrorMessage="1" sqref="B15"/>
    <dataValidation allowBlank="1" showDropDown="0" showInputMessage="1" showErrorMessage="1" sqref="B16"/>
    <dataValidation allowBlank="1" showDropDown="0" showInputMessage="1" showErrorMessage="1" sqref="B17"/>
    <dataValidation allowBlank="1" showDropDown="0" showInputMessage="1" showErrorMessage="1" sqref="B18"/>
    <dataValidation allowBlank="1" showDropDown="0" showInputMessage="1" showErrorMessage="1" sqref="B19"/>
    <dataValidation allowBlank="1" showDropDown="0" showInputMessage="1" showErrorMessage="1" sqref="B20"/>
    <dataValidation allowBlank="1" showDropDown="0" showInputMessage="1" showErrorMessage="1" sqref="B21"/>
    <dataValidation allowBlank="1" showDropDown="0" showInputMessage="1" showErrorMessage="1" sqref="B22"/>
    <dataValidation allowBlank="1" showDropDown="0" showInputMessage="1" showErrorMessage="1" sqref="B23"/>
    <dataValidation allowBlank="1" showDropDown="0" showInputMessage="1" showErrorMessage="1" sqref="B24"/>
    <dataValidation allowBlank="1" showDropDown="0" showInputMessage="1" showErrorMessage="1" sqref="B25"/>
    <dataValidation allowBlank="1" showDropDown="0" showInputMessage="1" showErrorMessage="1" sqref="B26"/>
    <dataValidation allowBlank="1" showDropDown="0" showInputMessage="1" showErrorMessage="1" sqref="B27"/>
    <dataValidation allowBlank="1" showDropDown="0" showInputMessage="1" showErrorMessage="1" sqref="B28"/>
    <dataValidation allowBlank="1" showDropDown="0" showInputMessage="1" showErrorMessage="1" sqref="B29"/>
    <dataValidation allowBlank="1" showDropDown="0" showInputMessage="1" showErrorMessage="1" sqref="B30"/>
    <dataValidation allowBlank="1" showDropDown="0" showInputMessage="1" showErrorMessage="1" sqref="B31"/>
    <dataValidation allowBlank="1" showDropDown="0" showInputMessage="1" showErrorMessage="1" sqref="B32"/>
    <dataValidation allowBlank="1" showDropDown="0" showInputMessage="1" showErrorMessage="1" sqref="C14"/>
    <dataValidation allowBlank="1" showDropDown="0" showInputMessage="1" showErrorMessage="1" sqref="C15"/>
    <dataValidation allowBlank="1" showDropDown="0" showInputMessage="1" showErrorMessage="1" sqref="C16"/>
    <dataValidation allowBlank="1" showDropDown="0" showInputMessage="1" showErrorMessage="1" sqref="C17"/>
    <dataValidation allowBlank="1" showDropDown="0" showInputMessage="1" showErrorMessage="1" sqref="C18"/>
    <dataValidation allowBlank="1" showDropDown="0" showInputMessage="1" showErrorMessage="1" sqref="C19"/>
    <dataValidation allowBlank="1" showDropDown="0" showInputMessage="1" showErrorMessage="1" sqref="C20"/>
    <dataValidation allowBlank="1" showDropDown="0" showInputMessage="1" showErrorMessage="1" sqref="C21"/>
    <dataValidation allowBlank="1" showDropDown="0" showInputMessage="1" showErrorMessage="1" sqref="C22"/>
    <dataValidation allowBlank="1" showDropDown="0" showInputMessage="1" showErrorMessage="1" sqref="C23"/>
    <dataValidation allowBlank="1" showDropDown="0" showInputMessage="1" showErrorMessage="1" sqref="C24"/>
    <dataValidation allowBlank="1" showDropDown="0" showInputMessage="1" showErrorMessage="1" sqref="C25"/>
    <dataValidation allowBlank="1" showDropDown="0" showInputMessage="1" showErrorMessage="1" sqref="C26"/>
    <dataValidation allowBlank="1" showDropDown="0" showInputMessage="1" showErrorMessage="1" sqref="C27"/>
    <dataValidation allowBlank="1" showDropDown="0" showInputMessage="1" showErrorMessage="1" sqref="C28"/>
    <dataValidation allowBlank="1" showDropDown="0" showInputMessage="1" showErrorMessage="1" sqref="C29"/>
    <dataValidation allowBlank="1" showDropDown="0" showInputMessage="1" showErrorMessage="1" sqref="C30"/>
    <dataValidation allowBlank="1" showDropDown="0" showInputMessage="1" showErrorMessage="1" sqref="C31"/>
    <dataValidation allowBlank="1" showDropDown="0" showInputMessage="1" showErrorMessage="1" sqref="C32"/>
    <dataValidation allowBlank="1" showDropDown="0" showInputMessage="1" showErrorMessage="1" sqref="D14"/>
    <dataValidation allowBlank="1" showDropDown="0" showInputMessage="1" showErrorMessage="1" sqref="D15"/>
    <dataValidation allowBlank="1" showDropDown="0" showInputMessage="1" showErrorMessage="1" sqref="D16"/>
    <dataValidation allowBlank="1" showDropDown="0" showInputMessage="1" showErrorMessage="1" sqref="D17"/>
    <dataValidation allowBlank="1" showDropDown="0" showInputMessage="1" showErrorMessage="1" sqref="D18"/>
    <dataValidation allowBlank="1" showDropDown="0" showInputMessage="1" showErrorMessage="1" sqref="D19"/>
    <dataValidation allowBlank="1" showDropDown="0" showInputMessage="1" showErrorMessage="1" sqref="D20"/>
    <dataValidation allowBlank="1" showDropDown="0" showInputMessage="1" showErrorMessage="1" sqref="D21"/>
    <dataValidation allowBlank="1" showDropDown="0" showInputMessage="1" showErrorMessage="1" sqref="D22"/>
    <dataValidation allowBlank="1" showDropDown="0" showInputMessage="1" showErrorMessage="1" sqref="D23"/>
    <dataValidation allowBlank="1" showDropDown="0" showInputMessage="1" showErrorMessage="1" sqref="D24"/>
    <dataValidation allowBlank="1" showDropDown="0" showInputMessage="1" showErrorMessage="1" sqref="D25"/>
    <dataValidation allowBlank="1" showDropDown="0" showInputMessage="1" showErrorMessage="1" sqref="D26"/>
    <dataValidation allowBlank="1" showDropDown="0" showInputMessage="1" showErrorMessage="1" sqref="D27"/>
    <dataValidation allowBlank="1" showDropDown="0" showInputMessage="1" showErrorMessage="1" sqref="D28"/>
    <dataValidation allowBlank="1" showDropDown="0" showInputMessage="1" showErrorMessage="1" sqref="D29"/>
    <dataValidation allowBlank="1" showDropDown="0" showInputMessage="1" showErrorMessage="1" sqref="D30"/>
    <dataValidation allowBlank="1" showDropDown="0" showInputMessage="1" showErrorMessage="1" sqref="D31"/>
    <dataValidation allowBlank="1" showDropDown="0" showInputMessage="1" showErrorMessage="1" sqref="D32"/>
    <dataValidation allowBlank="1" showDropDown="0" showInputMessage="1" showErrorMessage="1" sqref="E14"/>
    <dataValidation allowBlank="1" showDropDown="0" showInputMessage="1" showErrorMessage="1" sqref="E15"/>
    <dataValidation allowBlank="1" showDropDown="0" showInputMessage="1" showErrorMessage="1" sqref="E16"/>
    <dataValidation allowBlank="1" showDropDown="0" showInputMessage="1" showErrorMessage="1" sqref="E17"/>
    <dataValidation allowBlank="1" showDropDown="0" showInputMessage="1" showErrorMessage="1" sqref="E18"/>
    <dataValidation allowBlank="1" showDropDown="0" showInputMessage="1" showErrorMessage="1" sqref="E19"/>
    <dataValidation allowBlank="1" showDropDown="0" showInputMessage="1" showErrorMessage="1" sqref="E20"/>
    <dataValidation allowBlank="1" showDropDown="0" showInputMessage="1" showErrorMessage="1" sqref="E21"/>
    <dataValidation allowBlank="1" showDropDown="0" showInputMessage="1" showErrorMessage="1" sqref="E22"/>
    <dataValidation allowBlank="1" showDropDown="0" showInputMessage="1" showErrorMessage="1" sqref="E23"/>
    <dataValidation allowBlank="1" showDropDown="0" showInputMessage="1" showErrorMessage="1" sqref="E24"/>
    <dataValidation allowBlank="1" showDropDown="0" showInputMessage="1" showErrorMessage="1" sqref="E25"/>
    <dataValidation allowBlank="1" showDropDown="0" showInputMessage="1" showErrorMessage="1" sqref="E26"/>
    <dataValidation allowBlank="1" showDropDown="0" showInputMessage="1" showErrorMessage="1" sqref="E27"/>
    <dataValidation allowBlank="1" showDropDown="0" showInputMessage="1" showErrorMessage="1" sqref="E28"/>
    <dataValidation allowBlank="1" showDropDown="0" showInputMessage="1" showErrorMessage="1" sqref="E29"/>
    <dataValidation allowBlank="1" showDropDown="0" showInputMessage="1" showErrorMessage="1" sqref="E30"/>
    <dataValidation allowBlank="1" showDropDown="0" showInputMessage="1" showErrorMessage="1" sqref="E31"/>
    <dataValidation allowBlank="1" showDropDown="0" showInputMessage="1" showErrorMessage="1" sqref="E32"/>
    <dataValidation allowBlank="1" showDropDown="0" showInputMessage="1" showErrorMessage="1" sqref="F14"/>
    <dataValidation allowBlank="1" showDropDown="0" showInputMessage="1" showErrorMessage="1" sqref="F15"/>
    <dataValidation allowBlank="1" showDropDown="0" showInputMessage="1" showErrorMessage="1" sqref="F16"/>
    <dataValidation allowBlank="1" showDropDown="0" showInputMessage="1" showErrorMessage="1" sqref="F17"/>
    <dataValidation allowBlank="1" showDropDown="0" showInputMessage="1" showErrorMessage="1" sqref="F18"/>
    <dataValidation allowBlank="1" showDropDown="0" showInputMessage="1" showErrorMessage="1" sqref="F19"/>
    <dataValidation allowBlank="1" showDropDown="0" showInputMessage="1" showErrorMessage="1" sqref="F20"/>
    <dataValidation allowBlank="1" showDropDown="0" showInputMessage="1" showErrorMessage="1" sqref="F21"/>
    <dataValidation allowBlank="1" showDropDown="0" showInputMessage="1" showErrorMessage="1" sqref="F22"/>
    <dataValidation allowBlank="1" showDropDown="0" showInputMessage="1" showErrorMessage="1" sqref="F23"/>
    <dataValidation allowBlank="1" showDropDown="0" showInputMessage="1" showErrorMessage="1" sqref="F24"/>
    <dataValidation allowBlank="1" showDropDown="0" showInputMessage="1" showErrorMessage="1" sqref="F25"/>
    <dataValidation allowBlank="1" showDropDown="0" showInputMessage="1" showErrorMessage="1" sqref="F26"/>
    <dataValidation allowBlank="1" showDropDown="0" showInputMessage="1" showErrorMessage="1" sqref="F27"/>
    <dataValidation allowBlank="1" showDropDown="0" showInputMessage="1" showErrorMessage="1" sqref="F28"/>
    <dataValidation allowBlank="1" showDropDown="0" showInputMessage="1" showErrorMessage="1" sqref="F29"/>
    <dataValidation allowBlank="1" showDropDown="0" showInputMessage="1" showErrorMessage="1" sqref="F30"/>
    <dataValidation allowBlank="1" showDropDown="0" showInputMessage="1" showErrorMessage="1" sqref="F31"/>
    <dataValidation allowBlank="1" showDropDown="0" showInputMessage="1" showErrorMessage="1" sqref="F32"/>
    <dataValidation allowBlank="1" showDropDown="0" showInputMessage="1" showErrorMessage="1" sqref="G14"/>
    <dataValidation allowBlank="1" showDropDown="0" showInputMessage="1" showErrorMessage="1" sqref="G15"/>
    <dataValidation allowBlank="1" showDropDown="0" showInputMessage="1" showErrorMessage="1" sqref="G16"/>
    <dataValidation allowBlank="1" showDropDown="0" showInputMessage="1" showErrorMessage="1" sqref="G17"/>
    <dataValidation allowBlank="1" showDropDown="0" showInputMessage="1" showErrorMessage="1" sqref="G18"/>
    <dataValidation allowBlank="1" showDropDown="0" showInputMessage="1" showErrorMessage="1" sqref="G19"/>
    <dataValidation allowBlank="1" showDropDown="0" showInputMessage="1" showErrorMessage="1" sqref="G20"/>
    <dataValidation allowBlank="1" showDropDown="0" showInputMessage="1" showErrorMessage="1" sqref="G21"/>
    <dataValidation allowBlank="1" showDropDown="0" showInputMessage="1" showErrorMessage="1" sqref="G22"/>
    <dataValidation allowBlank="1" showDropDown="0" showInputMessage="1" showErrorMessage="1" sqref="G23"/>
    <dataValidation allowBlank="1" showDropDown="0" showInputMessage="1" showErrorMessage="1" sqref="G24"/>
    <dataValidation allowBlank="1" showDropDown="0" showInputMessage="1" showErrorMessage="1" sqref="G25"/>
    <dataValidation allowBlank="1" showDropDown="0" showInputMessage="1" showErrorMessage="1" sqref="G26"/>
    <dataValidation allowBlank="1" showDropDown="0" showInputMessage="1" showErrorMessage="1" sqref="G27"/>
    <dataValidation allowBlank="1" showDropDown="0" showInputMessage="1" showErrorMessage="1" sqref="G28"/>
    <dataValidation allowBlank="1" showDropDown="0" showInputMessage="1" showErrorMessage="1" sqref="G29"/>
    <dataValidation allowBlank="1" showDropDown="0" showInputMessage="1" showErrorMessage="1" sqref="G30"/>
    <dataValidation allowBlank="1" showDropDown="0" showInputMessage="1" showErrorMessage="1" sqref="G31"/>
    <dataValidation allowBlank="1" showDropDown="0" showInputMessage="1" showErrorMessage="1" sqref="G32"/>
    <dataValidation allowBlank="1" showDropDown="0" showInputMessage="1" showErrorMessage="1" sqref="H14"/>
    <dataValidation allowBlank="1" showDropDown="0" showInputMessage="1" showErrorMessage="1" sqref="H15"/>
    <dataValidation allowBlank="1" showDropDown="0" showInputMessage="1" showErrorMessage="1" sqref="H16"/>
    <dataValidation allowBlank="1" showDropDown="0" showInputMessage="1" showErrorMessage="1" sqref="H17"/>
    <dataValidation allowBlank="1" showDropDown="0" showInputMessage="1" showErrorMessage="1" sqref="H18"/>
    <dataValidation allowBlank="1" showDropDown="0" showInputMessage="1" showErrorMessage="1" sqref="H19"/>
    <dataValidation allowBlank="1" showDropDown="0" showInputMessage="1" showErrorMessage="1" sqref="H20"/>
    <dataValidation allowBlank="1" showDropDown="0" showInputMessage="1" showErrorMessage="1" sqref="H21"/>
    <dataValidation allowBlank="1" showDropDown="0" showInputMessage="1" showErrorMessage="1" sqref="H22"/>
    <dataValidation allowBlank="1" showDropDown="0" showInputMessage="1" showErrorMessage="1" sqref="H23"/>
    <dataValidation allowBlank="1" showDropDown="0" showInputMessage="1" showErrorMessage="1" sqref="H24"/>
    <dataValidation allowBlank="1" showDropDown="0" showInputMessage="1" showErrorMessage="1" sqref="H25"/>
    <dataValidation allowBlank="1" showDropDown="0" showInputMessage="1" showErrorMessage="1" sqref="H26"/>
    <dataValidation allowBlank="1" showDropDown="0" showInputMessage="1" showErrorMessage="1" sqref="H27"/>
    <dataValidation allowBlank="1" showDropDown="0" showInputMessage="1" showErrorMessage="1" sqref="H28"/>
    <dataValidation allowBlank="1" showDropDown="0" showInputMessage="1" showErrorMessage="1" sqref="H29"/>
    <dataValidation allowBlank="1" showDropDown="0" showInputMessage="1" showErrorMessage="1" sqref="H30"/>
    <dataValidation allowBlank="1" showDropDown="0" showInputMessage="1" showErrorMessage="1" sqref="H31"/>
    <dataValidation allowBlank="1" showDropDown="0" showInputMessage="1" showErrorMessage="1" sqref="H32"/>
    <dataValidation allowBlank="1" showDropDown="0" showInputMessage="1" showErrorMessage="1" sqref="I14"/>
    <dataValidation allowBlank="1" showDropDown="0" showInputMessage="1" showErrorMessage="1" sqref="I15"/>
    <dataValidation allowBlank="1" showDropDown="0" showInputMessage="1" showErrorMessage="1" sqref="I16"/>
    <dataValidation allowBlank="1" showDropDown="0" showInputMessage="1" showErrorMessage="1" sqref="I17"/>
    <dataValidation allowBlank="1" showDropDown="0" showInputMessage="1" showErrorMessage="1" sqref="I18"/>
    <dataValidation allowBlank="1" showDropDown="0" showInputMessage="1" showErrorMessage="1" sqref="I19"/>
    <dataValidation allowBlank="1" showDropDown="0" showInputMessage="1" showErrorMessage="1" sqref="I20"/>
    <dataValidation allowBlank="1" showDropDown="0" showInputMessage="1" showErrorMessage="1" sqref="I21"/>
    <dataValidation allowBlank="1" showDropDown="0" showInputMessage="1" showErrorMessage="1" sqref="I22"/>
    <dataValidation allowBlank="1" showDropDown="0" showInputMessage="1" showErrorMessage="1" sqref="I23"/>
    <dataValidation allowBlank="1" showDropDown="0" showInputMessage="1" showErrorMessage="1" sqref="I24"/>
    <dataValidation allowBlank="1" showDropDown="0" showInputMessage="1" showErrorMessage="1" sqref="I25"/>
    <dataValidation allowBlank="1" showDropDown="0" showInputMessage="1" showErrorMessage="1" sqref="I26"/>
    <dataValidation allowBlank="1" showDropDown="0" showInputMessage="1" showErrorMessage="1" sqref="I27"/>
    <dataValidation allowBlank="1" showDropDown="0" showInputMessage="1" showErrorMessage="1" sqref="I28"/>
    <dataValidation allowBlank="1" showDropDown="0" showInputMessage="1" showErrorMessage="1" sqref="I29"/>
    <dataValidation allowBlank="1" showDropDown="0" showInputMessage="1" showErrorMessage="1" sqref="I30"/>
    <dataValidation allowBlank="1" showDropDown="0" showInputMessage="1" showErrorMessage="1" sqref="I31"/>
    <dataValidation allowBlank="1" showDropDown="0" showInputMessage="1" showErrorMessage="1" sqref="I32"/>
    <dataValidation allowBlank="1" showDropDown="0" showInputMessage="1" showErrorMessage="1" sqref="J14"/>
    <dataValidation allowBlank="1" showDropDown="0" showInputMessage="1" showErrorMessage="1" sqref="J15"/>
    <dataValidation allowBlank="1" showDropDown="0" showInputMessage="1" showErrorMessage="1" sqref="J16"/>
    <dataValidation allowBlank="1" showDropDown="0" showInputMessage="1" showErrorMessage="1" sqref="J17"/>
    <dataValidation allowBlank="1" showDropDown="0" showInputMessage="1" showErrorMessage="1" sqref="J18"/>
    <dataValidation allowBlank="1" showDropDown="0" showInputMessage="1" showErrorMessage="1" sqref="J19"/>
    <dataValidation allowBlank="1" showDropDown="0" showInputMessage="1" showErrorMessage="1" sqref="J20"/>
    <dataValidation allowBlank="1" showDropDown="0" showInputMessage="1" showErrorMessage="1" sqref="J21"/>
    <dataValidation allowBlank="1" showDropDown="0" showInputMessage="1" showErrorMessage="1" sqref="J22"/>
    <dataValidation allowBlank="1" showDropDown="0" showInputMessage="1" showErrorMessage="1" sqref="J23"/>
    <dataValidation allowBlank="1" showDropDown="0" showInputMessage="1" showErrorMessage="1" sqref="J24"/>
    <dataValidation allowBlank="1" showDropDown="0" showInputMessage="1" showErrorMessage="1" sqref="J25"/>
    <dataValidation allowBlank="1" showDropDown="0" showInputMessage="1" showErrorMessage="1" sqref="J26"/>
    <dataValidation allowBlank="1" showDropDown="0" showInputMessage="1" showErrorMessage="1" sqref="J27"/>
    <dataValidation allowBlank="1" showDropDown="0" showInputMessage="1" showErrorMessage="1" sqref="J28"/>
    <dataValidation allowBlank="1" showDropDown="0" showInputMessage="1" showErrorMessage="1" sqref="J29"/>
    <dataValidation allowBlank="1" showDropDown="0" showInputMessage="1" showErrorMessage="1" sqref="J30"/>
    <dataValidation allowBlank="1" showDropDown="0" showInputMessage="1" showErrorMessage="1" sqref="J31"/>
    <dataValidation allowBlank="1" showDropDown="0" showInputMessage="1" showErrorMessage="1" sqref="J32"/>
    <dataValidation allowBlank="1" showDropDown="0" showInputMessage="1" showErrorMessage="1" sqref="K14"/>
    <dataValidation allowBlank="1" showDropDown="0" showInputMessage="1" showErrorMessage="1" sqref="K15"/>
    <dataValidation allowBlank="1" showDropDown="0" showInputMessage="1" showErrorMessage="1" sqref="K16"/>
    <dataValidation allowBlank="1" showDropDown="0" showInputMessage="1" showErrorMessage="1" sqref="K17"/>
    <dataValidation allowBlank="1" showDropDown="0" showInputMessage="1" showErrorMessage="1" sqref="K18"/>
    <dataValidation allowBlank="1" showDropDown="0" showInputMessage="1" showErrorMessage="1" sqref="K19"/>
    <dataValidation allowBlank="1" showDropDown="0" showInputMessage="1" showErrorMessage="1" sqref="K20"/>
    <dataValidation allowBlank="1" showDropDown="0" showInputMessage="1" showErrorMessage="1" sqref="K21"/>
    <dataValidation allowBlank="1" showDropDown="0" showInputMessage="1" showErrorMessage="1" sqref="K22"/>
    <dataValidation allowBlank="1" showDropDown="0" showInputMessage="1" showErrorMessage="1" sqref="K23"/>
    <dataValidation allowBlank="1" showDropDown="0" showInputMessage="1" showErrorMessage="1" sqref="K24"/>
    <dataValidation allowBlank="1" showDropDown="0" showInputMessage="1" showErrorMessage="1" sqref="K25"/>
    <dataValidation allowBlank="1" showDropDown="0" showInputMessage="1" showErrorMessage="1" sqref="K26"/>
    <dataValidation allowBlank="1" showDropDown="0" showInputMessage="1" showErrorMessage="1" sqref="K27"/>
    <dataValidation allowBlank="1" showDropDown="0" showInputMessage="1" showErrorMessage="1" sqref="K28"/>
    <dataValidation allowBlank="1" showDropDown="0" showInputMessage="1" showErrorMessage="1" sqref="K29"/>
    <dataValidation allowBlank="1" showDropDown="0" showInputMessage="1" showErrorMessage="1" sqref="K30"/>
    <dataValidation allowBlank="1" showDropDown="0" showInputMessage="1" showErrorMessage="1" sqref="K31"/>
    <dataValidation allowBlank="1" showDropDown="0" showInputMessage="1" showErrorMessage="1" sqref="K32"/>
    <dataValidation allowBlank="1" showDropDown="0" showInputMessage="1" showErrorMessage="1" sqref="L14"/>
    <dataValidation allowBlank="1" showDropDown="0" showInputMessage="1" showErrorMessage="1" sqref="L15"/>
    <dataValidation allowBlank="1" showDropDown="0" showInputMessage="1" showErrorMessage="1" sqref="L16"/>
    <dataValidation allowBlank="1" showDropDown="0" showInputMessage="1" showErrorMessage="1" sqref="L17"/>
    <dataValidation allowBlank="1" showDropDown="0" showInputMessage="1" showErrorMessage="1" sqref="L18"/>
    <dataValidation allowBlank="1" showDropDown="0" showInputMessage="1" showErrorMessage="1" sqref="L19"/>
    <dataValidation allowBlank="1" showDropDown="0" showInputMessage="1" showErrorMessage="1" sqref="L20"/>
    <dataValidation allowBlank="1" showDropDown="0" showInputMessage="1" showErrorMessage="1" sqref="L21"/>
    <dataValidation allowBlank="1" showDropDown="0" showInputMessage="1" showErrorMessage="1" sqref="L22"/>
    <dataValidation allowBlank="1" showDropDown="0" showInputMessage="1" showErrorMessage="1" sqref="L23"/>
    <dataValidation allowBlank="1" showDropDown="0" showInputMessage="1" showErrorMessage="1" sqref="L24"/>
    <dataValidation allowBlank="1" showDropDown="0" showInputMessage="1" showErrorMessage="1" sqref="L25"/>
    <dataValidation allowBlank="1" showDropDown="0" showInputMessage="1" showErrorMessage="1" sqref="L26"/>
    <dataValidation allowBlank="1" showDropDown="0" showInputMessage="1" showErrorMessage="1" sqref="L27"/>
    <dataValidation allowBlank="1" showDropDown="0" showInputMessage="1" showErrorMessage="1" sqref="L28"/>
    <dataValidation allowBlank="1" showDropDown="0" showInputMessage="1" showErrorMessage="1" sqref="L29"/>
    <dataValidation allowBlank="1" showDropDown="0" showInputMessage="1" showErrorMessage="1" sqref="L30"/>
    <dataValidation allowBlank="1" showDropDown="0" showInputMessage="1" showErrorMessage="1" sqref="L31"/>
    <dataValidation allowBlank="1" showDropDown="0" showInputMessage="1" showErrorMessage="1" sqref="L32"/>
    <dataValidation allowBlank="1" showDropDown="0" showInputMessage="1" showErrorMessage="1" sqref="M14"/>
    <dataValidation allowBlank="1" showDropDown="0" showInputMessage="1" showErrorMessage="1" sqref="M15"/>
    <dataValidation allowBlank="1" showDropDown="0" showInputMessage="1" showErrorMessage="1" sqref="M16"/>
    <dataValidation allowBlank="1" showDropDown="0" showInputMessage="1" showErrorMessage="1" sqref="M17"/>
    <dataValidation allowBlank="1" showDropDown="0" showInputMessage="1" showErrorMessage="1" sqref="M18"/>
    <dataValidation allowBlank="1" showDropDown="0" showInputMessage="1" showErrorMessage="1" sqref="M19"/>
    <dataValidation allowBlank="1" showDropDown="0" showInputMessage="1" showErrorMessage="1" sqref="M20"/>
    <dataValidation allowBlank="1" showDropDown="0" showInputMessage="1" showErrorMessage="1" sqref="M21"/>
    <dataValidation allowBlank="1" showDropDown="0" showInputMessage="1" showErrorMessage="1" sqref="M22"/>
    <dataValidation allowBlank="1" showDropDown="0" showInputMessage="1" showErrorMessage="1" sqref="M23"/>
    <dataValidation allowBlank="1" showDropDown="0" showInputMessage="1" showErrorMessage="1" sqref="M24"/>
    <dataValidation allowBlank="1" showDropDown="0" showInputMessage="1" showErrorMessage="1" sqref="M25"/>
    <dataValidation allowBlank="1" showDropDown="0" showInputMessage="1" showErrorMessage="1" sqref="M26"/>
    <dataValidation allowBlank="1" showDropDown="0" showInputMessage="1" showErrorMessage="1" sqref="M27"/>
    <dataValidation allowBlank="1" showDropDown="0" showInputMessage="1" showErrorMessage="1" sqref="M28"/>
    <dataValidation allowBlank="1" showDropDown="0" showInputMessage="1" showErrorMessage="1" sqref="M29"/>
    <dataValidation allowBlank="1" showDropDown="0" showInputMessage="1" showErrorMessage="1" sqref="M30"/>
    <dataValidation allowBlank="1" showDropDown="0" showInputMessage="1" showErrorMessage="1" sqref="M31"/>
    <dataValidation allowBlank="1" showDropDown="0" showInputMessage="1" showErrorMessage="1" sqref="M32"/>
    <dataValidation allowBlank="1" showDropDown="0" showInputMessage="1" showErrorMessage="1" sqref="N14"/>
    <dataValidation allowBlank="1" showDropDown="0" showInputMessage="1" showErrorMessage="1" sqref="N15"/>
    <dataValidation allowBlank="1" showDropDown="0" showInputMessage="1" showErrorMessage="1" sqref="N16"/>
    <dataValidation allowBlank="1" showDropDown="0" showInputMessage="1" showErrorMessage="1" sqref="N17"/>
    <dataValidation allowBlank="1" showDropDown="0" showInputMessage="1" showErrorMessage="1" sqref="N18"/>
    <dataValidation allowBlank="1" showDropDown="0" showInputMessage="1" showErrorMessage="1" sqref="N19"/>
    <dataValidation allowBlank="1" showDropDown="0" showInputMessage="1" showErrorMessage="1" sqref="N20"/>
    <dataValidation allowBlank="1" showDropDown="0" showInputMessage="1" showErrorMessage="1" sqref="N21"/>
    <dataValidation allowBlank="1" showDropDown="0" showInputMessage="1" showErrorMessage="1" sqref="N22"/>
    <dataValidation allowBlank="1" showDropDown="0" showInputMessage="1" showErrorMessage="1" sqref="N23"/>
    <dataValidation allowBlank="1" showDropDown="0" showInputMessage="1" showErrorMessage="1" sqref="N24"/>
    <dataValidation allowBlank="1" showDropDown="0" showInputMessage="1" showErrorMessage="1" sqref="N25"/>
    <dataValidation allowBlank="1" showDropDown="0" showInputMessage="1" showErrorMessage="1" sqref="N26"/>
    <dataValidation allowBlank="1" showDropDown="0" showInputMessage="1" showErrorMessage="1" sqref="N27"/>
    <dataValidation allowBlank="1" showDropDown="0" showInputMessage="1" showErrorMessage="1" sqref="N28"/>
    <dataValidation allowBlank="1" showDropDown="0" showInputMessage="1" showErrorMessage="1" sqref="N29"/>
    <dataValidation allowBlank="1" showDropDown="0" showInputMessage="1" showErrorMessage="1" sqref="N30"/>
    <dataValidation allowBlank="1" showDropDown="0" showInputMessage="1" showErrorMessage="1" sqref="N31"/>
    <dataValidation allowBlank="1" showDropDown="0" showInputMessage="1" showErrorMessage="1" sqref="N32"/>
    <dataValidation allowBlank="1" showDropDown="0" showInputMessage="1" showErrorMessage="1" sqref="O14"/>
    <dataValidation allowBlank="1" showDropDown="0" showInputMessage="1" showErrorMessage="1" sqref="O15"/>
    <dataValidation allowBlank="1" showDropDown="0" showInputMessage="1" showErrorMessage="1" sqref="O16"/>
    <dataValidation allowBlank="1" showDropDown="0" showInputMessage="1" showErrorMessage="1" sqref="O17"/>
    <dataValidation allowBlank="1" showDropDown="0" showInputMessage="1" showErrorMessage="1" sqref="O18"/>
    <dataValidation allowBlank="1" showDropDown="0" showInputMessage="1" showErrorMessage="1" sqref="O19"/>
    <dataValidation allowBlank="1" showDropDown="0" showInputMessage="1" showErrorMessage="1" sqref="O20"/>
    <dataValidation allowBlank="1" showDropDown="0" showInputMessage="1" showErrorMessage="1" sqref="O21"/>
    <dataValidation allowBlank="1" showDropDown="0" showInputMessage="1" showErrorMessage="1" sqref="O22"/>
    <dataValidation allowBlank="1" showDropDown="0" showInputMessage="1" showErrorMessage="1" sqref="O23"/>
    <dataValidation allowBlank="1" showDropDown="0" showInputMessage="1" showErrorMessage="1" sqref="O24"/>
    <dataValidation allowBlank="1" showDropDown="0" showInputMessage="1" showErrorMessage="1" sqref="O25"/>
    <dataValidation allowBlank="1" showDropDown="0" showInputMessage="1" showErrorMessage="1" sqref="O26"/>
    <dataValidation allowBlank="1" showDropDown="0" showInputMessage="1" showErrorMessage="1" sqref="O27"/>
    <dataValidation allowBlank="1" showDropDown="0" showInputMessage="1" showErrorMessage="1" sqref="O28"/>
    <dataValidation allowBlank="1" showDropDown="0" showInputMessage="1" showErrorMessage="1" sqref="O29"/>
    <dataValidation allowBlank="1" showDropDown="0" showInputMessage="1" showErrorMessage="1" sqref="O30"/>
    <dataValidation allowBlank="1" showDropDown="0" showInputMessage="1" showErrorMessage="1" sqref="O31"/>
    <dataValidation allowBlank="1" showDropDown="0" showInputMessage="1" showErrorMessage="1" sqref="O32"/>
    <dataValidation allowBlank="1" showDropDown="0" showInputMessage="1" showErrorMessage="1" sqref="V33"/>
    <dataValidation allowBlank="1" showDropDown="0" showInputMessage="1" showErrorMessage="1" sqref="U33"/>
    <dataValidation allowBlank="1" showDropDown="0" showInputMessage="1" showErrorMessage="1" sqref="T33"/>
    <dataValidation allowBlank="1" showDropDown="0" showInputMessage="1" showErrorMessage="1" sqref="S33"/>
    <dataValidation allowBlank="1" showDropDown="0" showInputMessage="1" showErrorMessage="1" sqref="R33"/>
    <dataValidation allowBlank="1" showDropDown="0" showInputMessage="1" showErrorMessage="1" sqref="Q33"/>
    <dataValidation allowBlank="1" showDropDown="0" showInputMessage="1" showErrorMessage="1" sqref="P33"/>
    <dataValidation allowBlank="1" showDropDown="0" showInputMessage="1" showErrorMessage="1" sqref="O33"/>
    <dataValidation allowBlank="1" showDropDown="0" showInputMessage="1" showErrorMessage="1" sqref="N33"/>
    <dataValidation allowBlank="1" showDropDown="0" showInputMessage="1" showErrorMessage="1" sqref="M33"/>
    <dataValidation allowBlank="1" showDropDown="0" showInputMessage="1" showErrorMessage="1" sqref="L33"/>
    <dataValidation allowBlank="1" showDropDown="0" showInputMessage="1" showErrorMessage="1" sqref="K33"/>
    <dataValidation allowBlank="1" showDropDown="0" showInputMessage="1" showErrorMessage="1" sqref="J33"/>
    <dataValidation allowBlank="1" showDropDown="0" showInputMessage="1" showErrorMessage="1" sqref="I33"/>
    <dataValidation allowBlank="1" showDropDown="0" showInputMessage="1" showErrorMessage="1" sqref="H33"/>
    <dataValidation allowBlank="1" showDropDown="0" showInputMessage="1" showErrorMessage="1" sqref="G33"/>
    <dataValidation allowBlank="1" showDropDown="0" showInputMessage="1" showErrorMessage="1" sqref="F33"/>
    <dataValidation allowBlank="1" showDropDown="0" showInputMessage="1" showErrorMessage="1" sqref="E33"/>
    <dataValidation allowBlank="1" showDropDown="0" showInputMessage="1" showErrorMessage="1" sqref="D33"/>
    <dataValidation allowBlank="1" showDropDown="0" showInputMessage="1" showErrorMessage="1" sqref="C33"/>
    <dataValidation allowBlank="1" showDropDown="0" showInputMessage="1" showErrorMessage="1" sqref="B33"/>
    <dataValidation allowBlank="1" showDropDown="0" showInputMessage="1" showErrorMessage="1" sqref="A33"/>
    <dataValidation allowBlank="1" showDropDown="0" showInputMessage="1" showErrorMessage="1" sqref="AR34"/>
    <dataValidation allowBlank="1" showDropDown="0" showInputMessage="1" showErrorMessage="1" sqref="AH34"/>
    <dataValidation allowBlank="1" showDropDown="0" showInputMessage="1" showErrorMessage="1" sqref="AG34"/>
    <dataValidation allowBlank="1" showDropDown="0" showInputMessage="1" showErrorMessage="1" sqref="AF34"/>
    <dataValidation allowBlank="1" showDropDown="0" showInputMessage="1" showErrorMessage="1" sqref="AE34"/>
    <dataValidation allowBlank="1" showDropDown="0" showInputMessage="1" showErrorMessage="1" sqref="AD34"/>
    <dataValidation allowBlank="1" showDropDown="0" showInputMessage="1" showErrorMessage="1" sqref="AC34"/>
    <dataValidation allowBlank="1" showDropDown="0" showInputMessage="1" showErrorMessage="1" sqref="AB34"/>
    <dataValidation allowBlank="1" showDropDown="0" showInputMessage="1" showErrorMessage="1" sqref="AA34"/>
    <dataValidation allowBlank="1" showDropDown="0" showInputMessage="1" showErrorMessage="1" sqref="Z34"/>
    <dataValidation allowBlank="1" showDropDown="0" showInputMessage="1" showErrorMessage="1" sqref="Y34"/>
    <dataValidation allowBlank="1" showDropDown="0" showInputMessage="1" showErrorMessage="1" sqref="X34"/>
    <dataValidation allowBlank="1" showDropDown="0" showInputMessage="1" showErrorMessage="1" sqref="W34"/>
    <dataValidation allowBlank="1" showDropDown="0" showInputMessage="1" showErrorMessage="1" sqref="V34"/>
    <dataValidation allowBlank="1" showDropDown="0" showInputMessage="1" showErrorMessage="1" sqref="U34"/>
    <dataValidation allowBlank="1" showDropDown="0" showInputMessage="1" showErrorMessage="1" sqref="T34"/>
    <dataValidation allowBlank="1" showDropDown="0" showInputMessage="1" showErrorMessage="1" sqref="S34"/>
    <dataValidation allowBlank="1" showDropDown="0" showInputMessage="1" showErrorMessage="1" sqref="R34"/>
    <dataValidation allowBlank="1" showDropDown="0" showInputMessage="1" showErrorMessage="1" sqref="Q34"/>
    <dataValidation allowBlank="1" showDropDown="0" showInputMessage="1" showErrorMessage="1" sqref="P34"/>
    <dataValidation allowBlank="1" showDropDown="0" showInputMessage="1" showErrorMessage="1" sqref="O34"/>
    <dataValidation allowBlank="1" showDropDown="0" showInputMessage="1" showErrorMessage="1" sqref="N34"/>
    <dataValidation allowBlank="1" showDropDown="0" showInputMessage="1" showErrorMessage="1" sqref="M34"/>
    <dataValidation allowBlank="1" showDropDown="0" showInputMessage="1" showErrorMessage="1" sqref="L34"/>
    <dataValidation allowBlank="1" showDropDown="0" showInputMessage="1" showErrorMessage="1" sqref="K34"/>
    <dataValidation allowBlank="1" showDropDown="0" showInputMessage="1" showErrorMessage="1" sqref="J34"/>
    <dataValidation allowBlank="1" showDropDown="0" showInputMessage="1" showErrorMessage="1" sqref="I34"/>
    <dataValidation allowBlank="1" showDropDown="0" showInputMessage="1" showErrorMessage="1" sqref="H34"/>
    <dataValidation allowBlank="1" showDropDown="0" showInputMessage="1" showErrorMessage="1" sqref="G34"/>
    <dataValidation allowBlank="1" showDropDown="0" showInputMessage="1" showErrorMessage="1" sqref="F34"/>
    <dataValidation allowBlank="1" showDropDown="0" showInputMessage="1" showErrorMessage="1" sqref="E34"/>
    <dataValidation allowBlank="1" showDropDown="0" showInputMessage="1" showErrorMessage="1" sqref="D34"/>
    <dataValidation allowBlank="1" showDropDown="0" showInputMessage="1" showErrorMessage="1" sqref="C34"/>
    <dataValidation allowBlank="1" showDropDown="0" showInputMessage="1" showErrorMessage="1" sqref="B34"/>
    <dataValidation allowBlank="1" showDropDown="0" showInputMessage="1" showErrorMessage="1" sqref="A34"/>
    <dataValidation allowBlank="1" showDropDown="0" showInputMessage="1" showErrorMessage="1" sqref="AQ33"/>
    <dataValidation allowBlank="1" showDropDown="0" showInputMessage="1" showErrorMessage="1" sqref="AP33"/>
    <dataValidation allowBlank="1" showDropDown="0" showInputMessage="1" showErrorMessage="1" sqref="AO33"/>
    <dataValidation allowBlank="1" showDropDown="0" showInputMessage="1" showErrorMessage="1" sqref="AN33"/>
    <dataValidation allowBlank="1" showDropDown="0" showInputMessage="1" showErrorMessage="1" sqref="AM33"/>
    <dataValidation allowBlank="1" showDropDown="0" showInputMessage="1" showErrorMessage="1" sqref="AL33"/>
    <dataValidation allowBlank="1" showDropDown="0" showInputMessage="1" showErrorMessage="1" sqref="AK33"/>
    <dataValidation allowBlank="1" showDropDown="0" showInputMessage="1" showErrorMessage="1" sqref="AJ33"/>
    <dataValidation allowBlank="1" showDropDown="0" showInputMessage="1" showErrorMessage="1" sqref="AI33"/>
  </dataValidations>
  <printOptions gridLines="false" gridLinesSet="true"/>
  <pageMargins left="0.7083333333333334" right="0.7083333333333334" top="0.7479166666666667" bottom="0.7479166666666667" header="0.3145833333333333" footer="0.3145833333333333"/>
  <pageSetup paperSize="9" orientation="portrait" scale="34" fitToHeight="1" fitToWidth="1"/>
  <headerFooter differentOddEven="false" differentFirst="false" scaleWithDoc="true" alignWithMargins="fals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オーダー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mikami</dc:creator>
  <cp:lastModifiedBy>Windows ユーザー</cp:lastModifiedBy>
  <dcterms:created xsi:type="dcterms:W3CDTF">2011-02-19T00:43:27+09:00</dcterms:created>
  <dcterms:modified xsi:type="dcterms:W3CDTF">2021-05-11T11:31:18+09:00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1041-8.1.0.3373</vt:lpwstr>
  </property>
</Properties>
</file>