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/Desktop/AI_Driven/Dev_nurumayu_proj/nurumayudatalab/webtool-ec-calc-amazon/"/>
    </mc:Choice>
  </mc:AlternateContent>
  <xr:revisionPtr revIDLastSave="0" documentId="13_ncr:1_{E3D127FF-B40F-0C48-948C-E108A48422FB}" xr6:coauthVersionLast="36" xr6:coauthVersionMax="36" xr10:uidLastSave="{00000000-0000-0000-0000-000000000000}"/>
  <bookViews>
    <workbookView xWindow="240" yWindow="500" windowWidth="17760" windowHeight="14060" xr2:uid="{00000000-000D-0000-FFFF-FFFF00000000}"/>
  </bookViews>
  <sheets>
    <sheet name="2025_4_1～2025_4_30の期間の取引" sheetId="1" r:id="rId1"/>
  </sheets>
  <definedNames>
    <definedName name="_xlnm._FilterDatabase" localSheetId="0" hidden="1">'2025_4_1～2025_4_30の期間の取引'!$A$1:$I$51</definedName>
  </definedNames>
  <calcPr calcId="181029"/>
</workbook>
</file>

<file path=xl/calcChain.xml><?xml version="1.0" encoding="utf-8"?>
<calcChain xmlns="http://schemas.openxmlformats.org/spreadsheetml/2006/main">
  <c r="L21" i="1" l="1"/>
  <c r="M21" i="1"/>
  <c r="L19" i="1" l="1"/>
  <c r="L18" i="1"/>
  <c r="L17" i="1"/>
  <c r="L23" i="1"/>
  <c r="M19" i="1" s="1"/>
  <c r="L22" i="1"/>
  <c r="L20" i="1"/>
  <c r="M17" i="1" l="1"/>
  <c r="N20" i="1" l="1"/>
  <c r="M16" i="1"/>
  <c r="L16" i="1"/>
  <c r="N16" i="1" l="1"/>
</calcChain>
</file>

<file path=xl/sharedStrings.xml><?xml version="1.0" encoding="utf-8"?>
<sst xmlns="http://schemas.openxmlformats.org/spreadsheetml/2006/main" count="165" uniqueCount="79">
  <si>
    <t>日付</t>
  </si>
  <si>
    <t>トランザクションの種類</t>
  </si>
  <si>
    <t>商品の詳細</t>
  </si>
  <si>
    <t>合計 (JPY)</t>
  </si>
  <si>
    <t>注文に対する支払い</t>
  </si>
  <si>
    <t>503-7627678-1053459</t>
  </si>
  <si>
    <t>レディース スウェット 上下 セット トレーナー ジャージ 部屋着 ゆったり 無...</t>
  </si>
  <si>
    <t>マーケットプレイス配送サービス</t>
  </si>
  <si>
    <t>503-1473254-0364656</t>
  </si>
  <si>
    <t>請求</t>
  </si>
  <si>
    <t>249-5428248-3979850</t>
  </si>
  <si>
    <t>レディース キャミ ワンピース 夏 薄手 ロング 肩ひも調整 マタニティ Aライ...</t>
  </si>
  <si>
    <t>レディース ワンピース ロング丈 セットアップ ニット 異素材 切替 長袖 大き...</t>
  </si>
  <si>
    <t>503-7881668-0071847</t>
  </si>
  <si>
    <t>249-9540052-6354264</t>
  </si>
  <si>
    <t>レディース ファスナー 膝下 スカート ミモレ 通年 タイト 着痩せ ロング マ...</t>
  </si>
  <si>
    <t>503-6693187-5781450</t>
  </si>
  <si>
    <t>249-2312036-3672642</t>
  </si>
  <si>
    <t>呪術廻戦 18 (ジャンプコミックス), 呪術廻戦 19 (ジャンプコミックス)</t>
  </si>
  <si>
    <t>249-1955094-4715001</t>
  </si>
  <si>
    <t>レディース ミニ スカート ミニスカ コスプレ Aライン ベルト インナー 付き...</t>
  </si>
  <si>
    <t>249-9667289-4546210</t>
  </si>
  <si>
    <t>503-7493760-0810259</t>
  </si>
  <si>
    <t>ビジネス バッグ メンズ 2WAY 大容量 軽量 撥水 パソコン 収納 就活 通...</t>
  </si>
  <si>
    <t>503-9715111-5211022</t>
  </si>
  <si>
    <t>メンズ トート バッグ 大容量 ビジネス 軽量 2way シンプル お洒落 ショ...</t>
  </si>
  <si>
    <t>250-5352826-7909444</t>
  </si>
  <si>
    <t>250-4510143-8009464</t>
  </si>
  <si>
    <t>ジャンプGIGA 2024 AUTUMN</t>
  </si>
  <si>
    <t>250-8295245-6833433</t>
  </si>
  <si>
    <t>249-6645253-0551804</t>
  </si>
  <si>
    <t>メンズ デニム 作業着 ストレッチ スキニー 大きい サイズ パンツ ジーンズ ...</t>
  </si>
  <si>
    <t>503-4786294-2278230</t>
  </si>
  <si>
    <t>レディース メッシュ シューズ ランニング トレーニング スポーツ 作業 軽量 ...</t>
  </si>
  <si>
    <t>サービス料金</t>
  </si>
  <si>
    <t>---</t>
  </si>
  <si>
    <t>納品時の輸送手数料</t>
  </si>
  <si>
    <t>503-3441634-1571027</t>
  </si>
  <si>
    <t>レディース ワンピース 長袖 ラウンドネック シンプル きれいめ ドレス おでか...</t>
  </si>
  <si>
    <t>250-3672447-4139821</t>
  </si>
  <si>
    <t>503-4189240-2773433</t>
  </si>
  <si>
    <t>ブルーロック(28) (少年マガジンKC)</t>
  </si>
  <si>
    <t>250-3207899-4680627</t>
  </si>
  <si>
    <t>レディース ネグリジェ 姫系 長袖 パジャマ ルーム ウェア フリル セクシー ...</t>
  </si>
  <si>
    <t>返金</t>
  </si>
  <si>
    <t>503-0545702-2926254</t>
  </si>
  <si>
    <t>250-7384588-4340608</t>
  </si>
  <si>
    <t>503-7936599-9826258</t>
  </si>
  <si>
    <t>呪術廻戦 18 (ジャンプコミックス)</t>
  </si>
  <si>
    <t>250-5876975-4732647</t>
  </si>
  <si>
    <t>250-6154712-2975824</t>
  </si>
  <si>
    <t>249-8570942-7709431</t>
  </si>
  <si>
    <t>Vジャンプ (10月号)</t>
  </si>
  <si>
    <t>S03-9728213-4259830</t>
  </si>
  <si>
    <t>249-7935701-6085448</t>
  </si>
  <si>
    <t>薬屋のひとりごと(14) (ビッグガンガンコミックス)</t>
  </si>
  <si>
    <t>503-8374984-2858257</t>
  </si>
  <si>
    <t>250-1524821-2772641</t>
  </si>
  <si>
    <t>249-6822845-6073437</t>
  </si>
  <si>
    <t>503-9252349-2573455</t>
  </si>
  <si>
    <t>250-5697629-6452633</t>
  </si>
  <si>
    <t>503-6228890-8669452</t>
  </si>
  <si>
    <t>503-3881741-2026256</t>
  </si>
  <si>
    <t>ONE PIECE 106 (ジャンプコミックス)</t>
  </si>
  <si>
    <t>503-6620814-3112632</t>
  </si>
  <si>
    <t>週刊少年ジャンプ (17号)</t>
  </si>
  <si>
    <t>503-7613994-2155010</t>
  </si>
  <si>
    <t>週刊少年ジャンプ (28号)</t>
  </si>
  <si>
    <t>503-5349611-8231852</t>
  </si>
  <si>
    <t>注文に対する支払い</t>
    <phoneticPr fontId="18"/>
  </si>
  <si>
    <t>注文番号</t>
    <phoneticPr fontId="18"/>
  </si>
  <si>
    <t>商品価格合計</t>
    <phoneticPr fontId="18"/>
  </si>
  <si>
    <t>プロモーション割引合計</t>
    <phoneticPr fontId="18"/>
  </si>
  <si>
    <t>Amazon手数料</t>
    <phoneticPr fontId="18"/>
  </si>
  <si>
    <t>その他</t>
    <phoneticPr fontId="18"/>
  </si>
  <si>
    <t>月額登録料：</t>
    <phoneticPr fontId="18"/>
  </si>
  <si>
    <t>FBA保管手数料：</t>
    <phoneticPr fontId="18"/>
  </si>
  <si>
    <t>250-5467603-1038253</t>
    <phoneticPr fontId="18"/>
  </si>
  <si>
    <t>納品時の輸送手数料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</si>
</sst>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C1" workbookViewId="0">
      <selection activeCell="E10" sqref="E10"/>
    </sheetView>
  </sheetViews>
  <sheetFormatPr baseColWidth="10" defaultRowHeight="20"/>
  <cols>
    <col min="1" max="1" width="10.42578125" bestFit="1" customWidth="1"/>
    <col min="2" max="2" width="29" bestFit="1" customWidth="1"/>
    <col min="3" max="3" width="21.140625" bestFit="1" customWidth="1"/>
    <col min="4" max="4" width="67.5703125" bestFit="1" customWidth="1"/>
    <col min="5" max="5" width="12" bestFit="1" customWidth="1"/>
    <col min="6" max="6" width="21.42578125" bestFit="1" customWidth="1"/>
    <col min="7" max="7" width="13.28515625" bestFit="1" customWidth="1"/>
    <col min="8" max="8" width="6.85546875" bestFit="1" customWidth="1"/>
    <col min="9" max="9" width="9.85546875" bestFit="1" customWidth="1"/>
  </cols>
  <sheetData>
    <row r="1" spans="1:14">
      <c r="A1" t="s">
        <v>0</v>
      </c>
      <c r="B1" t="s">
        <v>1</v>
      </c>
      <c r="C1" t="s">
        <v>70</v>
      </c>
      <c r="D1" t="s">
        <v>2</v>
      </c>
      <c r="E1" t="s">
        <v>71</v>
      </c>
      <c r="F1" t="s">
        <v>72</v>
      </c>
      <c r="G1" t="s">
        <v>73</v>
      </c>
      <c r="H1" t="s">
        <v>74</v>
      </c>
      <c r="I1" t="s">
        <v>3</v>
      </c>
    </row>
    <row r="2" spans="1:14">
      <c r="A2" s="1">
        <v>45768</v>
      </c>
      <c r="B2" t="s">
        <v>34</v>
      </c>
      <c r="C2" t="s">
        <v>35</v>
      </c>
      <c r="D2" t="s">
        <v>36</v>
      </c>
      <c r="E2">
        <v>0</v>
      </c>
      <c r="F2">
        <v>0</v>
      </c>
      <c r="G2">
        <v>0</v>
      </c>
      <c r="H2">
        <v>-855</v>
      </c>
      <c r="I2">
        <v>-855</v>
      </c>
    </row>
    <row r="3" spans="1:14">
      <c r="A3" s="1">
        <v>45761</v>
      </c>
      <c r="B3" t="s">
        <v>34</v>
      </c>
      <c r="C3" t="s">
        <v>35</v>
      </c>
      <c r="D3" t="s">
        <v>36</v>
      </c>
      <c r="E3">
        <v>0</v>
      </c>
      <c r="F3">
        <v>0</v>
      </c>
      <c r="G3">
        <v>0</v>
      </c>
      <c r="H3">
        <v>-857</v>
      </c>
      <c r="I3">
        <v>-857</v>
      </c>
    </row>
    <row r="4" spans="1:14">
      <c r="A4" s="1">
        <v>45760</v>
      </c>
      <c r="B4" t="s">
        <v>34</v>
      </c>
      <c r="C4" t="s">
        <v>35</v>
      </c>
      <c r="D4" t="s">
        <v>78</v>
      </c>
      <c r="E4">
        <v>0</v>
      </c>
      <c r="F4">
        <v>0</v>
      </c>
      <c r="G4">
        <v>0</v>
      </c>
      <c r="H4">
        <v>-1121</v>
      </c>
      <c r="I4">
        <v>-1121</v>
      </c>
    </row>
    <row r="5" spans="1:14">
      <c r="A5" s="1">
        <v>45754</v>
      </c>
      <c r="B5" t="s">
        <v>34</v>
      </c>
      <c r="C5" t="s">
        <v>35</v>
      </c>
      <c r="D5" t="s">
        <v>78</v>
      </c>
      <c r="E5">
        <v>0</v>
      </c>
      <c r="F5">
        <v>0</v>
      </c>
      <c r="G5">
        <v>0</v>
      </c>
      <c r="H5">
        <v>-857</v>
      </c>
      <c r="I5">
        <v>-857</v>
      </c>
    </row>
    <row r="6" spans="1:14">
      <c r="A6" s="1">
        <v>45754</v>
      </c>
      <c r="B6" t="s">
        <v>34</v>
      </c>
      <c r="C6" t="s">
        <v>35</v>
      </c>
      <c r="D6" t="s">
        <v>76</v>
      </c>
      <c r="E6">
        <v>0</v>
      </c>
      <c r="F6">
        <v>0</v>
      </c>
      <c r="G6">
        <v>0</v>
      </c>
      <c r="H6">
        <v>-19</v>
      </c>
      <c r="I6">
        <v>-19</v>
      </c>
    </row>
    <row r="7" spans="1:14">
      <c r="A7" s="1">
        <v>45749</v>
      </c>
      <c r="B7" t="s">
        <v>34</v>
      </c>
      <c r="C7" t="s">
        <v>35</v>
      </c>
      <c r="D7" t="s">
        <v>75</v>
      </c>
      <c r="E7">
        <v>0</v>
      </c>
      <c r="F7">
        <v>0</v>
      </c>
      <c r="G7">
        <v>-5390</v>
      </c>
      <c r="H7">
        <v>0</v>
      </c>
      <c r="I7">
        <v>-5390</v>
      </c>
    </row>
    <row r="8" spans="1:14">
      <c r="A8" s="1">
        <v>45776</v>
      </c>
      <c r="B8" t="s">
        <v>7</v>
      </c>
      <c r="C8" t="s">
        <v>8</v>
      </c>
      <c r="D8" t="s">
        <v>9</v>
      </c>
      <c r="E8">
        <v>-160</v>
      </c>
      <c r="F8">
        <v>0</v>
      </c>
      <c r="G8">
        <v>0</v>
      </c>
      <c r="H8">
        <v>-16</v>
      </c>
      <c r="I8">
        <v>-176</v>
      </c>
    </row>
    <row r="9" spans="1:14">
      <c r="A9" s="1">
        <v>45774</v>
      </c>
      <c r="B9" t="s">
        <v>7</v>
      </c>
      <c r="C9" t="s">
        <v>16</v>
      </c>
      <c r="D9" t="s">
        <v>9</v>
      </c>
      <c r="E9">
        <v>-160</v>
      </c>
      <c r="F9">
        <v>0</v>
      </c>
      <c r="G9">
        <v>0</v>
      </c>
      <c r="H9">
        <v>-16</v>
      </c>
      <c r="I9">
        <v>-176</v>
      </c>
    </row>
    <row r="10" spans="1:14">
      <c r="A10" s="1">
        <v>45771</v>
      </c>
      <c r="B10" t="s">
        <v>7</v>
      </c>
      <c r="C10" t="s">
        <v>29</v>
      </c>
      <c r="D10" t="s">
        <v>9</v>
      </c>
      <c r="E10">
        <v>-160</v>
      </c>
      <c r="F10">
        <v>0</v>
      </c>
      <c r="G10">
        <v>0</v>
      </c>
      <c r="H10">
        <v>-16</v>
      </c>
      <c r="I10">
        <v>-176</v>
      </c>
    </row>
    <row r="11" spans="1:14">
      <c r="A11" s="1">
        <v>45766</v>
      </c>
      <c r="B11" t="s">
        <v>7</v>
      </c>
      <c r="C11" t="s">
        <v>17</v>
      </c>
      <c r="D11" t="s">
        <v>9</v>
      </c>
      <c r="E11">
        <v>-160</v>
      </c>
      <c r="F11">
        <v>0</v>
      </c>
      <c r="G11">
        <v>0</v>
      </c>
      <c r="H11">
        <v>-16</v>
      </c>
      <c r="I11">
        <v>-176</v>
      </c>
    </row>
    <row r="12" spans="1:14">
      <c r="A12" s="1">
        <v>45764</v>
      </c>
      <c r="B12" t="s">
        <v>7</v>
      </c>
      <c r="C12" t="s">
        <v>26</v>
      </c>
      <c r="D12" t="s">
        <v>9</v>
      </c>
      <c r="E12">
        <v>-160</v>
      </c>
      <c r="F12">
        <v>0</v>
      </c>
      <c r="G12">
        <v>0</v>
      </c>
      <c r="H12">
        <v>-16</v>
      </c>
      <c r="I12">
        <v>-176</v>
      </c>
    </row>
    <row r="13" spans="1:14">
      <c r="A13" s="1">
        <v>45755</v>
      </c>
      <c r="B13" t="s">
        <v>7</v>
      </c>
      <c r="C13" t="s">
        <v>47</v>
      </c>
      <c r="D13" t="s">
        <v>9</v>
      </c>
      <c r="E13">
        <v>-160</v>
      </c>
      <c r="F13">
        <v>0</v>
      </c>
      <c r="G13">
        <v>0</v>
      </c>
      <c r="H13">
        <v>-16</v>
      </c>
      <c r="I13">
        <v>-176</v>
      </c>
    </row>
    <row r="14" spans="1:14">
      <c r="A14" s="1">
        <v>45750</v>
      </c>
      <c r="B14" t="s">
        <v>7</v>
      </c>
      <c r="C14" t="s">
        <v>51</v>
      </c>
      <c r="D14" t="s">
        <v>9</v>
      </c>
      <c r="E14">
        <v>-160</v>
      </c>
      <c r="F14">
        <v>0</v>
      </c>
      <c r="G14">
        <v>0</v>
      </c>
      <c r="H14">
        <v>-16</v>
      </c>
      <c r="I14">
        <v>-176</v>
      </c>
    </row>
    <row r="15" spans="1:14">
      <c r="A15" s="1">
        <v>45748</v>
      </c>
      <c r="B15" t="s">
        <v>7</v>
      </c>
      <c r="C15" t="s">
        <v>54</v>
      </c>
      <c r="D15" t="s">
        <v>9</v>
      </c>
      <c r="E15">
        <v>-160</v>
      </c>
      <c r="F15">
        <v>0</v>
      </c>
      <c r="G15">
        <v>0</v>
      </c>
      <c r="H15">
        <v>-16</v>
      </c>
      <c r="I15">
        <v>-176</v>
      </c>
    </row>
    <row r="16" spans="1:14">
      <c r="A16" s="1">
        <v>45777</v>
      </c>
      <c r="B16" t="s">
        <v>69</v>
      </c>
      <c r="C16" t="s">
        <v>5</v>
      </c>
      <c r="D16" t="s">
        <v>6</v>
      </c>
      <c r="E16">
        <v>2255</v>
      </c>
      <c r="F16">
        <v>0</v>
      </c>
      <c r="G16">
        <v>-730</v>
      </c>
      <c r="H16">
        <v>200</v>
      </c>
      <c r="I16">
        <v>1725</v>
      </c>
      <c r="L16">
        <f>SUM(E16:E50)</f>
        <v>62584</v>
      </c>
      <c r="M16">
        <f>SUM(H16:H50)</f>
        <v>15654</v>
      </c>
      <c r="N16" s="2">
        <f>L16+M16</f>
        <v>78238</v>
      </c>
    </row>
    <row r="17" spans="1:14">
      <c r="A17" s="1">
        <v>45776</v>
      </c>
      <c r="B17" t="s">
        <v>4</v>
      </c>
      <c r="C17" t="s">
        <v>10</v>
      </c>
      <c r="D17" t="s">
        <v>11</v>
      </c>
      <c r="E17">
        <v>2227</v>
      </c>
      <c r="F17">
        <v>0</v>
      </c>
      <c r="G17">
        <v>-531</v>
      </c>
      <c r="H17">
        <v>198</v>
      </c>
      <c r="I17">
        <v>1894</v>
      </c>
      <c r="L17">
        <f>SUM(F16:F50)</f>
        <v>-488</v>
      </c>
      <c r="M17">
        <f>SUM(L17:L18)</f>
        <v>-22823</v>
      </c>
    </row>
    <row r="18" spans="1:14">
      <c r="A18" s="1">
        <v>45775</v>
      </c>
      <c r="B18" t="s">
        <v>4</v>
      </c>
      <c r="C18" t="s">
        <v>77</v>
      </c>
      <c r="D18" t="s">
        <v>12</v>
      </c>
      <c r="E18">
        <v>3436</v>
      </c>
      <c r="F18">
        <v>0</v>
      </c>
      <c r="G18">
        <v>-461</v>
      </c>
      <c r="H18">
        <v>306</v>
      </c>
      <c r="I18">
        <v>3281</v>
      </c>
      <c r="L18">
        <f>SUM(G16:G50)</f>
        <v>-22335</v>
      </c>
    </row>
    <row r="19" spans="1:14">
      <c r="A19" s="1">
        <v>45775</v>
      </c>
      <c r="B19" t="s">
        <v>4</v>
      </c>
      <c r="C19" t="s">
        <v>13</v>
      </c>
      <c r="D19" t="s">
        <v>6</v>
      </c>
      <c r="E19">
        <v>2255</v>
      </c>
      <c r="F19">
        <v>0</v>
      </c>
      <c r="G19">
        <v>-557</v>
      </c>
      <c r="H19">
        <v>200</v>
      </c>
      <c r="I19">
        <v>1898</v>
      </c>
      <c r="L19">
        <f>SUM(E51:H51)</f>
        <v>-1805</v>
      </c>
      <c r="M19">
        <f>SUM(L19:L23)</f>
        <v>-12312</v>
      </c>
    </row>
    <row r="20" spans="1:14">
      <c r="A20" s="1">
        <v>45775</v>
      </c>
      <c r="B20" t="s">
        <v>4</v>
      </c>
      <c r="C20" t="s">
        <v>14</v>
      </c>
      <c r="D20" t="s">
        <v>15</v>
      </c>
      <c r="E20">
        <v>1800</v>
      </c>
      <c r="F20">
        <v>0</v>
      </c>
      <c r="G20">
        <v>-173</v>
      </c>
      <c r="H20">
        <v>160</v>
      </c>
      <c r="I20">
        <v>1787</v>
      </c>
      <c r="L20">
        <f>SUM(E8:H15)</f>
        <v>-1408</v>
      </c>
      <c r="N20">
        <f>SUM(L17:L23)</f>
        <v>-35135</v>
      </c>
    </row>
    <row r="21" spans="1:14">
      <c r="A21" s="1">
        <v>45774</v>
      </c>
      <c r="B21" t="s">
        <v>4</v>
      </c>
      <c r="C21" t="s">
        <v>17</v>
      </c>
      <c r="D21" t="s">
        <v>18</v>
      </c>
      <c r="E21">
        <v>844</v>
      </c>
      <c r="F21">
        <v>0</v>
      </c>
      <c r="G21">
        <v>-460</v>
      </c>
      <c r="H21">
        <v>74</v>
      </c>
      <c r="I21">
        <v>458</v>
      </c>
      <c r="L21">
        <f>SUM(E2:H5)</f>
        <v>-3690</v>
      </c>
      <c r="M21">
        <f>SUM(L21:L23)</f>
        <v>-9099</v>
      </c>
    </row>
    <row r="22" spans="1:14">
      <c r="A22" s="1">
        <v>45774</v>
      </c>
      <c r="B22" t="s">
        <v>4</v>
      </c>
      <c r="C22" t="s">
        <v>19</v>
      </c>
      <c r="D22" t="s">
        <v>20</v>
      </c>
      <c r="E22">
        <v>1817</v>
      </c>
      <c r="F22">
        <v>0</v>
      </c>
      <c r="G22">
        <v>-659</v>
      </c>
      <c r="H22">
        <v>162</v>
      </c>
      <c r="I22">
        <v>1320</v>
      </c>
      <c r="L22">
        <f>SUM(E6:H6)</f>
        <v>-19</v>
      </c>
    </row>
    <row r="23" spans="1:14">
      <c r="A23" s="1">
        <v>45773</v>
      </c>
      <c r="B23" t="s">
        <v>4</v>
      </c>
      <c r="C23" t="s">
        <v>21</v>
      </c>
      <c r="D23" t="s">
        <v>20</v>
      </c>
      <c r="E23">
        <v>1817</v>
      </c>
      <c r="F23">
        <v>-70</v>
      </c>
      <c r="G23">
        <v>-659</v>
      </c>
      <c r="H23">
        <v>232</v>
      </c>
      <c r="I23">
        <v>1320</v>
      </c>
      <c r="L23">
        <f>SUM(E7:H7)</f>
        <v>-5390</v>
      </c>
    </row>
    <row r="24" spans="1:14">
      <c r="A24" s="1">
        <v>45772</v>
      </c>
      <c r="B24" t="s">
        <v>4</v>
      </c>
      <c r="C24" t="s">
        <v>22</v>
      </c>
      <c r="D24" t="s">
        <v>23</v>
      </c>
      <c r="E24">
        <v>3500</v>
      </c>
      <c r="F24">
        <v>0</v>
      </c>
      <c r="G24">
        <v>-503</v>
      </c>
      <c r="H24">
        <v>311</v>
      </c>
      <c r="I24">
        <v>3308</v>
      </c>
    </row>
    <row r="25" spans="1:14">
      <c r="A25" s="1">
        <v>45772</v>
      </c>
      <c r="B25" t="s">
        <v>4</v>
      </c>
      <c r="C25" t="s">
        <v>24</v>
      </c>
      <c r="D25" t="s">
        <v>25</v>
      </c>
      <c r="E25">
        <v>2527</v>
      </c>
      <c r="F25">
        <v>0</v>
      </c>
      <c r="G25">
        <v>-823</v>
      </c>
      <c r="H25">
        <v>685</v>
      </c>
      <c r="I25">
        <v>2389</v>
      </c>
    </row>
    <row r="26" spans="1:14">
      <c r="A26" s="1">
        <v>45772</v>
      </c>
      <c r="B26" t="s">
        <v>4</v>
      </c>
      <c r="C26" t="s">
        <v>26</v>
      </c>
      <c r="D26" t="s">
        <v>18</v>
      </c>
      <c r="E26">
        <v>844</v>
      </c>
      <c r="F26">
        <v>0</v>
      </c>
      <c r="G26">
        <v>-460</v>
      </c>
      <c r="H26">
        <v>74</v>
      </c>
      <c r="I26">
        <v>458</v>
      </c>
    </row>
    <row r="27" spans="1:14">
      <c r="A27" s="1">
        <v>45771</v>
      </c>
      <c r="B27" t="s">
        <v>4</v>
      </c>
      <c r="C27" t="s">
        <v>27</v>
      </c>
      <c r="D27" t="s">
        <v>28</v>
      </c>
      <c r="E27">
        <v>2073</v>
      </c>
      <c r="F27">
        <v>0</v>
      </c>
      <c r="G27">
        <v>-3951</v>
      </c>
      <c r="H27">
        <v>2401</v>
      </c>
      <c r="I27">
        <v>523</v>
      </c>
    </row>
    <row r="28" spans="1:14">
      <c r="A28" s="1">
        <v>45769</v>
      </c>
      <c r="B28" t="s">
        <v>4</v>
      </c>
      <c r="C28" t="s">
        <v>30</v>
      </c>
      <c r="D28" t="s">
        <v>31</v>
      </c>
      <c r="E28">
        <v>2618</v>
      </c>
      <c r="F28">
        <v>0</v>
      </c>
      <c r="G28">
        <v>-861</v>
      </c>
      <c r="H28">
        <v>233</v>
      </c>
      <c r="I28">
        <v>1990</v>
      </c>
    </row>
    <row r="29" spans="1:14">
      <c r="A29" s="1">
        <v>45769</v>
      </c>
      <c r="B29" t="s">
        <v>4</v>
      </c>
      <c r="C29" t="s">
        <v>32</v>
      </c>
      <c r="D29" t="s">
        <v>33</v>
      </c>
      <c r="E29">
        <v>1436</v>
      </c>
      <c r="F29">
        <v>0</v>
      </c>
      <c r="G29">
        <v>-672</v>
      </c>
      <c r="H29">
        <v>128</v>
      </c>
      <c r="I29">
        <v>892</v>
      </c>
    </row>
    <row r="30" spans="1:14">
      <c r="A30" s="1">
        <v>45767</v>
      </c>
      <c r="B30" t="s">
        <v>69</v>
      </c>
      <c r="C30" t="s">
        <v>37</v>
      </c>
      <c r="D30" t="s">
        <v>38</v>
      </c>
      <c r="E30">
        <v>2618</v>
      </c>
      <c r="F30">
        <v>0</v>
      </c>
      <c r="G30">
        <v>-841</v>
      </c>
      <c r="H30">
        <v>233</v>
      </c>
      <c r="I30">
        <v>2010</v>
      </c>
    </row>
    <row r="31" spans="1:14">
      <c r="A31" s="1">
        <v>45766</v>
      </c>
      <c r="B31" t="s">
        <v>4</v>
      </c>
      <c r="C31" t="s">
        <v>39</v>
      </c>
      <c r="D31" t="s">
        <v>31</v>
      </c>
      <c r="E31">
        <v>2618</v>
      </c>
      <c r="F31">
        <v>0</v>
      </c>
      <c r="G31">
        <v>-664</v>
      </c>
      <c r="H31">
        <v>233</v>
      </c>
      <c r="I31">
        <v>2187</v>
      </c>
    </row>
    <row r="32" spans="1:14">
      <c r="A32" s="1">
        <v>45766</v>
      </c>
      <c r="B32" t="s">
        <v>4</v>
      </c>
      <c r="C32" t="s">
        <v>40</v>
      </c>
      <c r="D32" t="s">
        <v>41</v>
      </c>
      <c r="E32">
        <v>522</v>
      </c>
      <c r="F32">
        <v>0</v>
      </c>
      <c r="G32">
        <v>-509</v>
      </c>
      <c r="H32">
        <v>1794</v>
      </c>
      <c r="I32">
        <v>1807</v>
      </c>
    </row>
    <row r="33" spans="1:9">
      <c r="A33" s="1">
        <v>45764</v>
      </c>
      <c r="B33" t="s">
        <v>4</v>
      </c>
      <c r="C33" t="s">
        <v>42</v>
      </c>
      <c r="D33" t="s">
        <v>43</v>
      </c>
      <c r="E33">
        <v>1800</v>
      </c>
      <c r="F33">
        <v>0</v>
      </c>
      <c r="G33">
        <v>-638</v>
      </c>
      <c r="H33">
        <v>160</v>
      </c>
      <c r="I33">
        <v>1322</v>
      </c>
    </row>
    <row r="34" spans="1:9">
      <c r="A34" s="1">
        <v>45764</v>
      </c>
      <c r="B34" t="s">
        <v>4</v>
      </c>
      <c r="C34" t="s">
        <v>45</v>
      </c>
      <c r="D34" t="s">
        <v>11</v>
      </c>
      <c r="E34">
        <v>2164</v>
      </c>
      <c r="F34">
        <v>-418</v>
      </c>
      <c r="G34">
        <v>-525</v>
      </c>
      <c r="H34">
        <v>610</v>
      </c>
      <c r="I34">
        <v>1831</v>
      </c>
    </row>
    <row r="35" spans="1:9">
      <c r="A35" s="1">
        <v>45764</v>
      </c>
      <c r="B35" t="s">
        <v>4</v>
      </c>
      <c r="C35" t="s">
        <v>46</v>
      </c>
      <c r="D35" t="s">
        <v>11</v>
      </c>
      <c r="E35">
        <v>2164</v>
      </c>
      <c r="F35">
        <v>0</v>
      </c>
      <c r="G35">
        <v>-525</v>
      </c>
      <c r="H35">
        <v>192</v>
      </c>
      <c r="I35">
        <v>1831</v>
      </c>
    </row>
    <row r="36" spans="1:9">
      <c r="A36" s="1">
        <v>45763</v>
      </c>
      <c r="B36" t="s">
        <v>4</v>
      </c>
      <c r="C36" t="s">
        <v>47</v>
      </c>
      <c r="D36" t="s">
        <v>48</v>
      </c>
      <c r="E36">
        <v>422</v>
      </c>
      <c r="F36">
        <v>0</v>
      </c>
      <c r="G36">
        <v>-164</v>
      </c>
      <c r="H36">
        <v>37</v>
      </c>
      <c r="I36">
        <v>295</v>
      </c>
    </row>
    <row r="37" spans="1:9">
      <c r="A37" s="1">
        <v>45761</v>
      </c>
      <c r="B37" t="s">
        <v>4</v>
      </c>
      <c r="C37" t="s">
        <v>49</v>
      </c>
      <c r="D37" t="s">
        <v>11</v>
      </c>
      <c r="E37">
        <v>2227</v>
      </c>
      <c r="F37">
        <v>0</v>
      </c>
      <c r="G37">
        <v>-531</v>
      </c>
      <c r="H37">
        <v>198</v>
      </c>
      <c r="I37">
        <v>1894</v>
      </c>
    </row>
    <row r="38" spans="1:9">
      <c r="A38" s="1">
        <v>45761</v>
      </c>
      <c r="B38" t="s">
        <v>4</v>
      </c>
      <c r="C38" t="s">
        <v>50</v>
      </c>
      <c r="D38" t="s">
        <v>43</v>
      </c>
      <c r="E38">
        <v>1800</v>
      </c>
      <c r="F38">
        <v>0</v>
      </c>
      <c r="G38">
        <v>-638</v>
      </c>
      <c r="H38">
        <v>160</v>
      </c>
      <c r="I38">
        <v>1322</v>
      </c>
    </row>
    <row r="39" spans="1:9">
      <c r="A39" s="1">
        <v>45758</v>
      </c>
      <c r="B39" t="s">
        <v>4</v>
      </c>
      <c r="C39" t="s">
        <v>51</v>
      </c>
      <c r="D39" t="s">
        <v>52</v>
      </c>
      <c r="E39">
        <v>891</v>
      </c>
      <c r="F39">
        <v>0</v>
      </c>
      <c r="G39">
        <v>-249</v>
      </c>
      <c r="H39">
        <v>79</v>
      </c>
      <c r="I39">
        <v>721</v>
      </c>
    </row>
    <row r="40" spans="1:9">
      <c r="A40" s="1">
        <v>45756</v>
      </c>
      <c r="B40" t="s">
        <v>69</v>
      </c>
      <c r="C40" t="s">
        <v>54</v>
      </c>
      <c r="D40" t="s">
        <v>55</v>
      </c>
      <c r="E40">
        <v>664</v>
      </c>
      <c r="F40">
        <v>0</v>
      </c>
      <c r="G40">
        <v>-323</v>
      </c>
      <c r="H40">
        <v>759</v>
      </c>
      <c r="I40">
        <v>1100</v>
      </c>
    </row>
    <row r="41" spans="1:9">
      <c r="A41" s="1">
        <v>45756</v>
      </c>
      <c r="B41" t="s">
        <v>4</v>
      </c>
      <c r="C41" t="s">
        <v>56</v>
      </c>
      <c r="D41" t="s">
        <v>11</v>
      </c>
      <c r="E41">
        <v>2227</v>
      </c>
      <c r="F41">
        <v>0</v>
      </c>
      <c r="G41">
        <v>-531</v>
      </c>
      <c r="H41">
        <v>198</v>
      </c>
      <c r="I41">
        <v>1894</v>
      </c>
    </row>
    <row r="42" spans="1:9">
      <c r="A42" s="1">
        <v>45755</v>
      </c>
      <c r="B42" t="s">
        <v>4</v>
      </c>
      <c r="C42" t="s">
        <v>57</v>
      </c>
      <c r="D42" t="s">
        <v>11</v>
      </c>
      <c r="E42">
        <v>2227</v>
      </c>
      <c r="F42">
        <v>0</v>
      </c>
      <c r="G42">
        <v>-531</v>
      </c>
      <c r="H42">
        <v>198</v>
      </c>
      <c r="I42">
        <v>1894</v>
      </c>
    </row>
    <row r="43" spans="1:9">
      <c r="A43" s="1">
        <v>45755</v>
      </c>
      <c r="B43" t="s">
        <v>4</v>
      </c>
      <c r="C43" t="s">
        <v>58</v>
      </c>
      <c r="D43" t="s">
        <v>23</v>
      </c>
      <c r="E43">
        <v>3500</v>
      </c>
      <c r="F43">
        <v>0</v>
      </c>
      <c r="G43">
        <v>-1017</v>
      </c>
      <c r="H43">
        <v>311</v>
      </c>
      <c r="I43">
        <v>2794</v>
      </c>
    </row>
    <row r="44" spans="1:9">
      <c r="A44" s="1">
        <v>45754</v>
      </c>
      <c r="B44" t="s">
        <v>4</v>
      </c>
      <c r="C44" t="s">
        <v>59</v>
      </c>
      <c r="D44" t="s">
        <v>55</v>
      </c>
      <c r="E44">
        <v>664</v>
      </c>
      <c r="F44">
        <v>0</v>
      </c>
      <c r="G44">
        <v>-323</v>
      </c>
      <c r="H44">
        <v>759</v>
      </c>
      <c r="I44">
        <v>1100</v>
      </c>
    </row>
    <row r="45" spans="1:9">
      <c r="A45" s="1">
        <v>45754</v>
      </c>
      <c r="B45" t="s">
        <v>4</v>
      </c>
      <c r="C45" t="s">
        <v>60</v>
      </c>
      <c r="D45" t="s">
        <v>18</v>
      </c>
      <c r="E45">
        <v>844</v>
      </c>
      <c r="F45">
        <v>0</v>
      </c>
      <c r="G45">
        <v>-328</v>
      </c>
      <c r="H45">
        <v>74</v>
      </c>
      <c r="I45">
        <v>590</v>
      </c>
    </row>
    <row r="46" spans="1:9">
      <c r="A46" s="1">
        <v>45752</v>
      </c>
      <c r="B46" t="s">
        <v>4</v>
      </c>
      <c r="C46" t="s">
        <v>61</v>
      </c>
      <c r="D46" t="s">
        <v>31</v>
      </c>
      <c r="E46">
        <v>2982</v>
      </c>
      <c r="F46">
        <v>0</v>
      </c>
      <c r="G46">
        <v>-903</v>
      </c>
      <c r="H46">
        <v>265</v>
      </c>
      <c r="I46">
        <v>2344</v>
      </c>
    </row>
    <row r="47" spans="1:9">
      <c r="A47" s="1">
        <v>45751</v>
      </c>
      <c r="B47" t="s">
        <v>4</v>
      </c>
      <c r="C47" t="s">
        <v>62</v>
      </c>
      <c r="D47" t="s">
        <v>63</v>
      </c>
      <c r="E47">
        <v>455</v>
      </c>
      <c r="F47">
        <v>0</v>
      </c>
      <c r="G47">
        <v>-564</v>
      </c>
      <c r="H47">
        <v>2222</v>
      </c>
      <c r="I47">
        <v>2113</v>
      </c>
    </row>
    <row r="48" spans="1:9">
      <c r="A48" s="1">
        <v>45749</v>
      </c>
      <c r="B48" t="s">
        <v>4</v>
      </c>
      <c r="C48" t="s">
        <v>64</v>
      </c>
      <c r="D48" t="s">
        <v>65</v>
      </c>
      <c r="E48">
        <v>273</v>
      </c>
      <c r="F48">
        <v>0</v>
      </c>
      <c r="G48">
        <v>-270</v>
      </c>
      <c r="H48">
        <v>824</v>
      </c>
      <c r="I48">
        <v>827</v>
      </c>
    </row>
    <row r="49" spans="1:9">
      <c r="A49" s="1">
        <v>45749</v>
      </c>
      <c r="B49" t="s">
        <v>4</v>
      </c>
      <c r="C49" t="s">
        <v>66</v>
      </c>
      <c r="D49" t="s">
        <v>67</v>
      </c>
      <c r="E49">
        <v>273</v>
      </c>
      <c r="F49">
        <v>0</v>
      </c>
      <c r="G49">
        <v>-270</v>
      </c>
      <c r="H49">
        <v>824</v>
      </c>
      <c r="I49">
        <v>827</v>
      </c>
    </row>
    <row r="50" spans="1:9">
      <c r="A50" s="1">
        <v>45749</v>
      </c>
      <c r="B50" t="s">
        <v>4</v>
      </c>
      <c r="C50" t="s">
        <v>68</v>
      </c>
      <c r="D50" t="s">
        <v>15</v>
      </c>
      <c r="E50">
        <v>1800</v>
      </c>
      <c r="F50">
        <v>0</v>
      </c>
      <c r="G50">
        <v>-491</v>
      </c>
      <c r="H50">
        <v>160</v>
      </c>
      <c r="I50">
        <v>1469</v>
      </c>
    </row>
    <row r="51" spans="1:9">
      <c r="A51" s="1">
        <v>45764</v>
      </c>
      <c r="B51" t="s">
        <v>44</v>
      </c>
      <c r="C51" t="s">
        <v>42</v>
      </c>
      <c r="D51" t="s">
        <v>43</v>
      </c>
      <c r="E51">
        <v>-1800</v>
      </c>
      <c r="F51">
        <v>0</v>
      </c>
      <c r="G51">
        <v>155</v>
      </c>
      <c r="H51">
        <v>-160</v>
      </c>
      <c r="I51">
        <v>-1805</v>
      </c>
    </row>
    <row r="52" spans="1:9">
      <c r="A52" s="1">
        <v>45757</v>
      </c>
      <c r="B52" t="s">
        <v>69</v>
      </c>
      <c r="C52" t="s">
        <v>53</v>
      </c>
      <c r="D52" t="s">
        <v>31</v>
      </c>
      <c r="E52">
        <v>0</v>
      </c>
      <c r="F52">
        <v>0</v>
      </c>
      <c r="G52">
        <v>-520</v>
      </c>
      <c r="H52">
        <v>0</v>
      </c>
      <c r="I52">
        <v>-520</v>
      </c>
    </row>
    <row r="53" spans="1:9">
      <c r="A53" s="1">
        <v>45757</v>
      </c>
      <c r="B53" t="s">
        <v>4</v>
      </c>
      <c r="C53" t="s">
        <v>53</v>
      </c>
      <c r="D53" t="s">
        <v>31</v>
      </c>
      <c r="E53">
        <v>0</v>
      </c>
      <c r="F53">
        <v>0</v>
      </c>
      <c r="G53">
        <v>-520</v>
      </c>
      <c r="H53">
        <v>0</v>
      </c>
      <c r="I53">
        <v>-520</v>
      </c>
    </row>
  </sheetData>
  <autoFilter ref="A1:I51" xr:uid="{387D31BE-7C5A-E249-B33D-2F94FD6B0E08}">
    <sortState ref="A2:I51">
      <sortCondition ref="B1:B51"/>
    </sortState>
  </autoFilter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2025_4_1～2025_4_30の期間の取引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2025-08-11T16:28:31Z</dcterms:modified>
</cp:coreProperties>
</file>